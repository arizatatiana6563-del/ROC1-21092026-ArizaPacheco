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Supuestos" sheetId="2" state="visible" r:id="rId4"/>
    <sheet name="Historicos" sheetId="3" state="visible" r:id="rId5"/>
    <sheet name="ER_Proy" sheetId="4" state="visible" r:id="rId6"/>
    <sheet name="Balance_Proy" sheetId="5" state="visible" r:id="rId7"/>
    <sheet name="Flujo_Indirecto" sheetId="6" state="visible" r:id="rId8"/>
    <sheet name="Flujo_Directo" sheetId="7" state="visible" r:id="rId9"/>
    <sheet name="Ratios" sheetId="8" state="visible" r:id="rId10"/>
    <sheet name="Validacion" sheetId="9" state="visible" r:id="rId11"/>
    <sheet name="Anexo_Formula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<sst xmlns="http://schemas.openxmlformats.org/spreadsheetml/2006/main" count="429" uniqueCount="335">
  <si>
    <t xml:space="preserve">Flujo de Efectivo Proyectado - Caso Manufacturas Técnicas del Caribe S.A.S. (caso ilustrativo)</t>
  </si>
  <si>
    <t xml:space="preserve">Registro de Operaciones Contables I - Unidad 3: Presentación de estados financieros - Cifras en millones de pesos colombianos (COP)</t>
  </si>
  <si>
    <t xml:space="preserve">Etiqueta</t>
  </si>
  <si>
    <t xml:space="preserve">[ROC1][Avanzado][21092026][ArizaPacheco]</t>
  </si>
  <si>
    <t xml:space="preserve">Estudiante</t>
  </si>
  <si>
    <t xml:space="preserve">Tatiana María Ariza Pacheco</t>
  </si>
  <si>
    <t xml:space="preserve">Institución</t>
  </si>
  <si>
    <t xml:space="preserve">Corporación Universitaria Americana</t>
  </si>
  <si>
    <t xml:space="preserve">Versión del libro</t>
  </si>
  <si>
    <t xml:space="preserve">1.0 (21/09/2026)</t>
  </si>
  <si>
    <t xml:space="preserve">Software</t>
  </si>
  <si>
    <t xml:space="preserve">Microsoft Excel (compatible con Excel 2016 o superior; solo usa funciones básicas)</t>
  </si>
  <si>
    <t xml:space="preserve">Marco normativo</t>
  </si>
  <si>
    <t xml:space="preserve">NIC 7 Estado de Flujos de Efectivo (NIIF) - método indirecto con conciliación por método directo</t>
  </si>
  <si>
    <t xml:space="preserve">Nota</t>
  </si>
  <si>
    <t xml:space="preserve">La empresa y sus cifras son un caso ilustrativo construido para este reto; deben reemplazarse si el docente entrega datos propios.</t>
  </si>
  <si>
    <t xml:space="preserve">Convención de colores</t>
  </si>
  <si>
    <t xml:space="preserve">Azul: dato de entrada o supuesto (editable)</t>
  </si>
  <si>
    <t xml:space="preserve">Negro: fórmula de cálculo</t>
  </si>
  <si>
    <t xml:space="preserve">Verde: vínculo directo a otra hoja</t>
  </si>
  <si>
    <t xml:space="preserve">Fondo amarillo: campo a completar por el estudiante / revisor</t>
  </si>
  <si>
    <t xml:space="preserve">Índice de hojas</t>
  </si>
  <si>
    <t xml:space="preserve">Supuestos</t>
  </si>
  <si>
    <t xml:space="preserve">Supuestos cuantitativos con justificación y referencia a NIC 7</t>
  </si>
  <si>
    <t xml:space="preserve">Historicos</t>
  </si>
  <si>
    <t xml:space="preserve">Estado de resultados y balance histórico (Año -1 y Año 0)</t>
  </si>
  <si>
    <t xml:space="preserve">Ratios</t>
  </si>
  <si>
    <t xml:space="preserve">Ratios de liquidez, actividad y endeudamiento</t>
  </si>
  <si>
    <t xml:space="preserve">ER_Proy</t>
  </si>
  <si>
    <t xml:space="preserve">Estado de resultados proyectado (Año 1)</t>
  </si>
  <si>
    <t xml:space="preserve">Balance_Proy</t>
  </si>
  <si>
    <t xml:space="preserve">Balance proyectado (Año 1) con verificación de cuadre</t>
  </si>
  <si>
    <t xml:space="preserve">Flujo_Indirecto</t>
  </si>
  <si>
    <t xml:space="preserve">Estado de flujos de efectivo (método indirecto): Año 0 comparativo y Año 1 proyectado</t>
  </si>
  <si>
    <t xml:space="preserve">Flujo_Directo</t>
  </si>
  <si>
    <t xml:space="preserve">Presentación por método directo y conciliación con el indirecto</t>
  </si>
  <si>
    <t xml:space="preserve">Validacion</t>
  </si>
  <si>
    <t xml:space="preserve">Controles automáticos, lista de verificación NIC 7 y registro de revisión técnica</t>
  </si>
  <si>
    <t xml:space="preserve">Anexo_Formulas</t>
  </si>
  <si>
    <t xml:space="preserve">Documentación de las fórmulas utilizadas</t>
  </si>
  <si>
    <t xml:space="preserve">Supuestos cuantitativos del Año 1</t>
  </si>
  <si>
    <t xml:space="preserve">Cifras en millones de COP salvo indicación. Celdas azules = editables; todo el modelo recalcula a partir de ellas.</t>
  </si>
  <si>
    <t xml:space="preserve">Supuesto</t>
  </si>
  <si>
    <t xml:space="preserve">Valor</t>
  </si>
  <si>
    <t xml:space="preserve">Unidad</t>
  </si>
  <si>
    <t xml:space="preserve">Justificación</t>
  </si>
  <si>
    <t xml:space="preserve">Referencia normativa</t>
  </si>
  <si>
    <t xml:space="preserve">Crecimiento de ventas netas</t>
  </si>
  <si>
    <t xml:space="preserve">% anual</t>
  </si>
  <si>
    <t xml:space="preserve">El Año 0 creció 10,0 %; se modera por uso cercano a la capacidad instalada y demanda incierta.</t>
  </si>
  <si>
    <t xml:space="preserve">NIC 7 párr. 14(a)</t>
  </si>
  <si>
    <t xml:space="preserve">Costo de ventas (sin depreciación) / ventas</t>
  </si>
  <si>
    <t xml:space="preserve">% de ventas</t>
  </si>
  <si>
    <t xml:space="preserve">Igual a la razón del Año 0 (64,5 %); no se asumen mejoras de margen por prudencia.</t>
  </si>
  <si>
    <t xml:space="preserve">NIC 2; NIC 7 párr. 14(c)</t>
  </si>
  <si>
    <t xml:space="preserve">Crecimiento de gastos de administración</t>
  </si>
  <si>
    <t xml:space="preserve">Ajuste salarial e inflacionario esperado.</t>
  </si>
  <si>
    <t xml:space="preserve">NIC 7 párr. 14(d)</t>
  </si>
  <si>
    <t xml:space="preserve">Gastos de ventas / ventas</t>
  </si>
  <si>
    <t xml:space="preserve">Se mantiene la proporción del Año 0 (7,4 %).</t>
  </si>
  <si>
    <t xml:space="preserve">Tasa de depreciación</t>
  </si>
  <si>
    <t xml:space="preserve">Aplicada sobre PP&amp;E neto inicial más 50 % del capex (adiciones a mitad de año). El Año 0 fue ~9,9 %.</t>
  </si>
  <si>
    <t xml:space="preserve">NIC 16; NIC 7 párr. 20</t>
  </si>
  <si>
    <t xml:space="preserve">Renovación de maquinaria (capex)</t>
  </si>
  <si>
    <t xml:space="preserve">COP mm</t>
  </si>
  <si>
    <t xml:space="preserve">Reposición de líneas con alta obsolescencia; supera la depreciación para sostener capacidad.</t>
  </si>
  <si>
    <t xml:space="preserve">NIC 7 párr. 16(a)</t>
  </si>
  <si>
    <t xml:space="preserve">Plazo de cobro a clientes</t>
  </si>
  <si>
    <t xml:space="preserve">días</t>
  </si>
  <si>
    <t xml:space="preserve">Año 0: 59,5 días; se mantiene la política de crédito a 60 días.</t>
  </si>
  <si>
    <t xml:space="preserve">NIC 7 párr. 14(a) y 20(a)</t>
  </si>
  <si>
    <t xml:space="preserve">Rotación de inventarios</t>
  </si>
  <si>
    <t xml:space="preserve">Año 0: 86,7 días; leve mejora por gestión de compras.</t>
  </si>
  <si>
    <t xml:space="preserve">NIC 2; NIC 7 párr. 20(a)</t>
  </si>
  <si>
    <t xml:space="preserve">Plazo de pago a proveedores</t>
  </si>
  <si>
    <t xml:space="preserve">Año 0: 58,7 días; se mantiene el plazo negociado.</t>
  </si>
  <si>
    <t xml:space="preserve">NIC 7 párr. 14(c) y 20(a)</t>
  </si>
  <si>
    <t xml:space="preserve">Gastos pagados por anticipado / ventas</t>
  </si>
  <si>
    <t xml:space="preserve">Año 0: 1,0 %.</t>
  </si>
  <si>
    <t xml:space="preserve">NIC 7 párr. 20(a)</t>
  </si>
  <si>
    <t xml:space="preserve">Obligaciones laborales por pagar / ventas</t>
  </si>
  <si>
    <t xml:space="preserve">Año 0: 2,2 %.</t>
  </si>
  <si>
    <t xml:space="preserve">Tarifa de impuesto de renta</t>
  </si>
  <si>
    <t xml:space="preserve">% de la utilidad antes de impuestos</t>
  </si>
  <si>
    <t xml:space="preserve">Tarifa general del impuesto de renta para sociedades en Colombia (verificar vigencia).</t>
  </si>
  <si>
    <t xml:space="preserve">NIC 12; NIC 7 párr. 35</t>
  </si>
  <si>
    <t xml:space="preserve">Impuesto por pagar al cierre / gasto por impuesto</t>
  </si>
  <si>
    <t xml:space="preserve">% del gasto</t>
  </si>
  <si>
    <t xml:space="preserve">Año 0: 36,2 %; refleja saldo pendiente tras anticipos.</t>
  </si>
  <si>
    <t xml:space="preserve">NIC 7 párr. 35-36</t>
  </si>
  <si>
    <t xml:space="preserve">Tasa de interés sobre la deuda financiera</t>
  </si>
  <si>
    <t xml:space="preserve">Año 0: ~7,5 % sobre saldo promedio; se asume 8,0 % por mayor costo de fondeo.</t>
  </si>
  <si>
    <t xml:space="preserve">NIC 7 párr. 31-33</t>
  </si>
  <si>
    <t xml:space="preserve">Nuevo crédito de largo plazo</t>
  </si>
  <si>
    <t xml:space="preserve">Financia parcialmente el capex y protege la liquidez; se desembolsa a mitad de año.</t>
  </si>
  <si>
    <t xml:space="preserve">NIC 7 párr. 17(c)</t>
  </si>
  <si>
    <t xml:space="preserve">Amortización de deuda del año</t>
  </si>
  <si>
    <t xml:space="preserve">Corresponde a la porción corriente del cierre del Año 0 (cronograma contractual).</t>
  </si>
  <si>
    <t xml:space="preserve">NIC 7 párr. 17(d)</t>
  </si>
  <si>
    <t xml:space="preserve">Porción corriente de deuda al cierre del Año 1</t>
  </si>
  <si>
    <t xml:space="preserve">Siguiente cuota contractual.</t>
  </si>
  <si>
    <t xml:space="preserve">NIC 1 párr. 69</t>
  </si>
  <si>
    <t xml:space="preserve">Reserva legal sobre la utilidad del Año 0</t>
  </si>
  <si>
    <t xml:space="preserve">% de la utilidad</t>
  </si>
  <si>
    <t xml:space="preserve">Apropiación de reserva legal aprobada en la asamblea.</t>
  </si>
  <si>
    <t xml:space="preserve">NIC 1 (patrimonio)</t>
  </si>
  <si>
    <t xml:space="preserve">Dividendos pagados en el Año 1 / utilidad del Año 0</t>
  </si>
  <si>
    <t xml:space="preserve">Política de distribución del 50 %; el resto se retiene.</t>
  </si>
  <si>
    <t xml:space="preserve">NIC 7 párr. 34</t>
  </si>
  <si>
    <t xml:space="preserve">Días del año comercial</t>
  </si>
  <si>
    <t xml:space="preserve">Convención para calcular plazos.</t>
  </si>
  <si>
    <t xml:space="preserve">-</t>
  </si>
  <si>
    <t xml:space="preserve">Estados financieros históricos</t>
  </si>
  <si>
    <t xml:space="preserve">Cifras en millones de COP. Año 0 = último cierre; Año -1 = cierre anterior. Datos ilustrativos (azul).</t>
  </si>
  <si>
    <t xml:space="preserve">Concepto</t>
  </si>
  <si>
    <t xml:space="preserve">Año -1</t>
  </si>
  <si>
    <t xml:space="preserve">Año 0</t>
  </si>
  <si>
    <t xml:space="preserve">Estado de resultados</t>
  </si>
  <si>
    <t xml:space="preserve">Ventas netas</t>
  </si>
  <si>
    <t xml:space="preserve">Costo de ventas (sin depreciación)</t>
  </si>
  <si>
    <t xml:space="preserve">Utilidad bruta</t>
  </si>
  <si>
    <t xml:space="preserve">Gastos de administración</t>
  </si>
  <si>
    <t xml:space="preserve">Gastos de ventas</t>
  </si>
  <si>
    <t xml:space="preserve">Depreciación y amortización</t>
  </si>
  <si>
    <t xml:space="preserve">Utilidad operacional</t>
  </si>
  <si>
    <t xml:space="preserve">Gastos financieros</t>
  </si>
  <si>
    <t xml:space="preserve">Utilidad antes de impuestos</t>
  </si>
  <si>
    <t xml:space="preserve">Impuesto de renta</t>
  </si>
  <si>
    <t xml:space="preserve">Utilidad neta</t>
  </si>
  <si>
    <t xml:space="preserve">Balance general</t>
  </si>
  <si>
    <t xml:space="preserve">Efectivo y equivalentes de efectivo</t>
  </si>
  <si>
    <t xml:space="preserve">Cuentas por cobrar comerciales</t>
  </si>
  <si>
    <t xml:space="preserve">Inventarios</t>
  </si>
  <si>
    <t xml:space="preserve">Gastos pagados por anticipado</t>
  </si>
  <si>
    <t xml:space="preserve">Total activo corriente</t>
  </si>
  <si>
    <t xml:space="preserve">Propiedades, planta y equipo (neto)</t>
  </si>
  <si>
    <t xml:space="preserve">Total activo</t>
  </si>
  <si>
    <t xml:space="preserve">Proveedores</t>
  </si>
  <si>
    <t xml:space="preserve">Obligaciones laborales por pagar</t>
  </si>
  <si>
    <t xml:space="preserve">Impuesto de renta por pagar</t>
  </si>
  <si>
    <t xml:space="preserve">Deuda financiera corriente</t>
  </si>
  <si>
    <t xml:space="preserve">Total pasivo corriente</t>
  </si>
  <si>
    <t xml:space="preserve">Deuda financiera no corriente</t>
  </si>
  <si>
    <t xml:space="preserve">Total pasivo</t>
  </si>
  <si>
    <t xml:space="preserve">Capital social</t>
  </si>
  <si>
    <t xml:space="preserve">Reservas</t>
  </si>
  <si>
    <t xml:space="preserve">Resultados acumulados</t>
  </si>
  <si>
    <t xml:space="preserve">Utilidad del ejercicio</t>
  </si>
  <si>
    <t xml:space="preserve">Total patrimonio</t>
  </si>
  <si>
    <t xml:space="preserve">Total pasivo + patrimonio</t>
  </si>
  <si>
    <t xml:space="preserve">Verificación (activo - pasivo - patrimonio; debe ser 0)</t>
  </si>
  <si>
    <t xml:space="preserve">Estado de resultados proyectado</t>
  </si>
  <si>
    <t xml:space="preserve">Cifras en millones de COP. Año 0 vinculado a Historicos; Año 1 calculado con Supuestos.</t>
  </si>
  <si>
    <t xml:space="preserve">Año 0 (histórico)</t>
  </si>
  <si>
    <t xml:space="preserve">Año 1 (proyectado)</t>
  </si>
  <si>
    <t xml:space="preserve">Variación %</t>
  </si>
  <si>
    <t xml:space="preserve">Balance general proyectado</t>
  </si>
  <si>
    <t xml:space="preserve">Cifras en millones de COP. El efectivo del Año 1 proviene del estado de flujos de efectivo (Flujo_Indirecto).</t>
  </si>
  <si>
    <t xml:space="preserve">Verificación (debe ser 0)</t>
  </si>
  <si>
    <t xml:space="preserve">Estado de flujos de efectivo - método indirecto (NIC 7)</t>
  </si>
  <si>
    <t xml:space="preserve">Cifras en millones de COP. Año 0 = comparativo derivado de los balances históricos; Año 1 = proyección.</t>
  </si>
  <si>
    <t xml:space="preserve">Año 0 (comparativo)</t>
  </si>
  <si>
    <t xml:space="preserve">Referencia NIC 7</t>
  </si>
  <si>
    <t xml:space="preserve">Flujos de efectivo de actividades de operación</t>
  </si>
  <si>
    <t xml:space="preserve">Utilidad neta del período</t>
  </si>
  <si>
    <t xml:space="preserve">Párr. 18(b), 20</t>
  </si>
  <si>
    <t xml:space="preserve">Ajustes por partidas no monetarias:</t>
  </si>
  <si>
    <t xml:space="preserve">   Depreciación y amortización</t>
  </si>
  <si>
    <t xml:space="preserve">Párr. 20(b)</t>
  </si>
  <si>
    <t xml:space="preserve">Cambios en el capital de trabajo operativo:</t>
  </si>
  <si>
    <t xml:space="preserve">   (Aumento) en cuentas por cobrar</t>
  </si>
  <si>
    <t xml:space="preserve">Párr. 20(a)</t>
  </si>
  <si>
    <t xml:space="preserve">   (Aumento) en inventarios</t>
  </si>
  <si>
    <t xml:space="preserve">   (Aumento) en gastos pagados por anticipado</t>
  </si>
  <si>
    <t xml:space="preserve">   Aumento en proveedores</t>
  </si>
  <si>
    <t xml:space="preserve">   Aumento en obligaciones laborales</t>
  </si>
  <si>
    <t xml:space="preserve">   Aumento en impuesto de renta por pagar</t>
  </si>
  <si>
    <t xml:space="preserve">Flujo neto de efectivo de actividades de operación</t>
  </si>
  <si>
    <t xml:space="preserve">Flujos de efectivo de actividades de inversión</t>
  </si>
  <si>
    <t xml:space="preserve">Adquisición de propiedades, planta y equipo</t>
  </si>
  <si>
    <t xml:space="preserve">Párr. 16(a)</t>
  </si>
  <si>
    <t xml:space="preserve">Flujo neto de efectivo de actividades de inversión</t>
  </si>
  <si>
    <t xml:space="preserve">Flujos de efectivo de actividades de financiación</t>
  </si>
  <si>
    <t xml:space="preserve">Cobros por nuevos préstamos</t>
  </si>
  <si>
    <t xml:space="preserve">Párr. 17(c)</t>
  </si>
  <si>
    <t xml:space="preserve">Pagos de préstamos (amortización)</t>
  </si>
  <si>
    <t xml:space="preserve">Párr. 17(d)</t>
  </si>
  <si>
    <t xml:space="preserve">Dividendos pagados</t>
  </si>
  <si>
    <t xml:space="preserve">Párr. 34</t>
  </si>
  <si>
    <t xml:space="preserve">Flujo neto de efectivo de actividades de financiación</t>
  </si>
  <si>
    <t xml:space="preserve">Aumento (disminución) neto de efectivo</t>
  </si>
  <si>
    <t xml:space="preserve">Efectivo y equivalentes al inicio del período</t>
  </si>
  <si>
    <t xml:space="preserve">Efectivo y equivalentes al final del período</t>
  </si>
  <si>
    <t xml:space="preserve">Párr. 45</t>
  </si>
  <si>
    <t xml:space="preserve">Efectivo según balance</t>
  </si>
  <si>
    <t xml:space="preserve">Diferencia (debe ser 0)</t>
  </si>
  <si>
    <t xml:space="preserve">Información complementaria a revelar</t>
  </si>
  <si>
    <t xml:space="preserve">Intereses pagados (clasificados en operación)</t>
  </si>
  <si>
    <t xml:space="preserve">Párr. 31-33</t>
  </si>
  <si>
    <t xml:space="preserve">Impuesto de renta pagado (clasificado en operación)</t>
  </si>
  <si>
    <t xml:space="preserve">Párr. 35-36</t>
  </si>
  <si>
    <t xml:space="preserve">Estado de flujos de efectivo - método directo (conciliación)</t>
  </si>
  <si>
    <t xml:space="preserve">Año 1 proyectado. Presenta cobros y pagos brutos (NIC 7 párr. 19 y 21) y debe coincidir con el método indirecto.</t>
  </si>
  <si>
    <t xml:space="preserve">Cobros procedentes de clientes</t>
  </si>
  <si>
    <t xml:space="preserve">Párr. 14(a), 21(a)</t>
  </si>
  <si>
    <t xml:space="preserve">Pagos a proveedores por bienes</t>
  </si>
  <si>
    <t xml:space="preserve">Párr. 14(c), 21(b)</t>
  </si>
  <si>
    <t xml:space="preserve">Pagos por gastos de administración y ventas (personal y otros)</t>
  </si>
  <si>
    <t xml:space="preserve">Párr. 14(d), 21(b)</t>
  </si>
  <si>
    <t xml:space="preserve">Intereses pagados</t>
  </si>
  <si>
    <t xml:space="preserve">Impuesto de renta pagado</t>
  </si>
  <si>
    <t xml:space="preserve">Pagos de préstamos</t>
  </si>
  <si>
    <t xml:space="preserve">Diferencia de operación vs. método indirecto (debe ser 0)</t>
  </si>
  <si>
    <t xml:space="preserve">Días calculados con saldos de cierre. Año 1 = proyectado.</t>
  </si>
  <si>
    <t xml:space="preserve">Ratio</t>
  </si>
  <si>
    <t xml:space="preserve">Año 1 (proy.)</t>
  </si>
  <si>
    <t xml:space="preserve">Lectura</t>
  </si>
  <si>
    <t xml:space="preserve">Razón corriente (veces)</t>
  </si>
  <si>
    <t xml:space="preserve">Capacidad de cubrir el pasivo corriente con el activo corriente.</t>
  </si>
  <si>
    <t xml:space="preserve">Prueba ácida (veces)</t>
  </si>
  <si>
    <t xml:space="preserve">Liquidez sin depender de la venta de inventarios.</t>
  </si>
  <si>
    <t xml:space="preserve">Razón de efectivo (veces)</t>
  </si>
  <si>
    <t xml:space="preserve">Efectivo disponible frente a obligaciones de corto plazo.</t>
  </si>
  <si>
    <t xml:space="preserve">Capital de trabajo neto (COP mm)</t>
  </si>
  <si>
    <t xml:space="preserve">Colchón de recursos corrientes tras cubrir el pasivo corriente.</t>
  </si>
  <si>
    <t xml:space="preserve">Días de cartera</t>
  </si>
  <si>
    <t xml:space="preserve">Plazo medio de cobro.</t>
  </si>
  <si>
    <t xml:space="preserve">Días de inventario</t>
  </si>
  <si>
    <t xml:space="preserve">Plazo medio de permanencia del inventario.</t>
  </si>
  <si>
    <t xml:space="preserve">Días de proveedores</t>
  </si>
  <si>
    <t xml:space="preserve">Plazo medio de pago.</t>
  </si>
  <si>
    <t xml:space="preserve">Ciclo de conversión de efectivo (días)</t>
  </si>
  <si>
    <t xml:space="preserve">Días que el efectivo permanece inmovilizado en el ciclo operativo.</t>
  </si>
  <si>
    <t xml:space="preserve">Endeudamiento total (pasivo / activo)</t>
  </si>
  <si>
    <t xml:space="preserve">Proporción de los activos financiada con terceros.</t>
  </si>
  <si>
    <t xml:space="preserve">Cobertura de intereses (veces)</t>
  </si>
  <si>
    <t xml:space="preserve">Utilidad operacional frente a gastos financieros.</t>
  </si>
  <si>
    <t xml:space="preserve">Margen neto</t>
  </si>
  <si>
    <t xml:space="preserve">Utilidad neta por cada peso vendido.</t>
  </si>
  <si>
    <t xml:space="preserve">Validación del modelo y de la presentación NIC 7</t>
  </si>
  <si>
    <t xml:space="preserve">Sección 1: controles automáticos. Sección 2: lista de verificación. Sección 3: registro de la revisión por experto técnico (completar).</t>
  </si>
  <si>
    <t xml:space="preserve">Control automático</t>
  </si>
  <si>
    <t xml:space="preserve">Diferencia / valor</t>
  </si>
  <si>
    <t xml:space="preserve">Resultado</t>
  </si>
  <si>
    <t xml:space="preserve">Balance histórico Año -1 cuadra</t>
  </si>
  <si>
    <t xml:space="preserve">Balance histórico Año 0 cuadra</t>
  </si>
  <si>
    <t xml:space="preserve">Balance proyectado Año 1 cuadra</t>
  </si>
  <si>
    <t xml:space="preserve">Efectivo final comparativo Año 0 = efectivo del balance</t>
  </si>
  <si>
    <t xml:space="preserve">Efectivo final Año 1 (flujo) = efectivo del balance</t>
  </si>
  <si>
    <t xml:space="preserve">Flujo de operación directo = indirecto</t>
  </si>
  <si>
    <t xml:space="preserve">Efectivo final Año 1 no es negativo</t>
  </si>
  <si>
    <t xml:space="preserve">Lista de verificación NIC 7</t>
  </si>
  <si>
    <t xml:space="preserve">Cumple</t>
  </si>
  <si>
    <t xml:space="preserve">Evidencia</t>
  </si>
  <si>
    <t xml:space="preserve">Flujos clasificados en operación, inversión y financiación (párr. 10)</t>
  </si>
  <si>
    <t xml:space="preserve">Sí</t>
  </si>
  <si>
    <t xml:space="preserve">Flujo_Indirecto filas 5-24</t>
  </si>
  <si>
    <t xml:space="preserve">Método de operación identificado y justificado (párr. 18-20)</t>
  </si>
  <si>
    <t xml:space="preserve">Informe, sección «Selección y justificación del método»</t>
  </si>
  <si>
    <t xml:space="preserve">Ajustes por partidas no monetarias y cambios en capital de trabajo (párr. 20)</t>
  </si>
  <si>
    <t xml:space="preserve">Flujo_Indirecto filas 8-15</t>
  </si>
  <si>
    <t xml:space="preserve">Intereses pagados e impuesto pagado revelados por separado (párr. 31 y 35)</t>
  </si>
  <si>
    <t xml:space="preserve">Flujo_Indirecto filas 31-32</t>
  </si>
  <si>
    <t xml:space="preserve">Dividendos pagados clasificados de forma consistente (párr. 34)</t>
  </si>
  <si>
    <t xml:space="preserve">Flujo_Indirecto fila 23</t>
  </si>
  <si>
    <t xml:space="preserve">Conciliación del efectivo final con el balance (párr. 45)</t>
  </si>
  <si>
    <t xml:space="preserve">Flujo_Indirecto filas 27-29</t>
  </si>
  <si>
    <t xml:space="preserve">Información comparativa del período anterior (NIC 1 párr. 38)</t>
  </si>
  <si>
    <t xml:space="preserve">Columna Año 0 de Flujo_Indirecto</t>
  </si>
  <si>
    <t xml:space="preserve">Transacciones sin efectivo excluidas (párr. 43)</t>
  </si>
  <si>
    <t xml:space="preserve">No se proyectan transacciones sin efecto en el efectivo</t>
  </si>
  <si>
    <t xml:space="preserve">Registro de revisión por experto técnico</t>
  </si>
  <si>
    <t xml:space="preserve">Dato</t>
  </si>
  <si>
    <t xml:space="preserve">Nombre y cargo del revisor</t>
  </si>
  <si>
    <t xml:space="preserve">Fecha de revisión</t>
  </si>
  <si>
    <t xml:space="preserve">Hallazgo u observación del revisor</t>
  </si>
  <si>
    <t xml:space="preserve">Párrafo NIC 7 / hoja</t>
  </si>
  <si>
    <t xml:space="preserve">Ajuste realizado</t>
  </si>
  <si>
    <t xml:space="preserve">EJEMPLO (borrar): Clasificar los intereses pagados en financiación en lugar de operación.</t>
  </si>
  <si>
    <t xml:space="preserve">Párr. 33 / Flujo_Indirecto</t>
  </si>
  <si>
    <t xml:space="preserve">Se mantiene en operación y se revela por separado; se documenta la política.</t>
  </si>
  <si>
    <t xml:space="preserve">Amarillo = campos que debe completar el estudiante con la revisión real (no se inventa el resultado de la revisión).</t>
  </si>
  <si>
    <t xml:space="preserve">Anexo: fórmulas utilizadas</t>
  </si>
  <si>
    <t xml:space="preserve">Descripción conceptual y ubicación en el libro (Año 1).</t>
  </si>
  <si>
    <t xml:space="preserve">Fórmula conceptual</t>
  </si>
  <si>
    <t xml:space="preserve">Ubicación</t>
  </si>
  <si>
    <t xml:space="preserve">Ventas Año 1</t>
  </si>
  <si>
    <t xml:space="preserve">Ventas Año 0 x (1 + crecimiento)</t>
  </si>
  <si>
    <t xml:space="preserve">ER_Proy!C5</t>
  </si>
  <si>
    <t xml:space="preserve">Costo de ventas</t>
  </si>
  <si>
    <t xml:space="preserve">Ventas Año 1 x % costo</t>
  </si>
  <si>
    <t xml:space="preserve">ER_Proy!C6</t>
  </si>
  <si>
    <t xml:space="preserve">Depreciación</t>
  </si>
  <si>
    <t xml:space="preserve">Tasa x (PP&amp;E neto inicial + 50 % del capex)</t>
  </si>
  <si>
    <t xml:space="preserve">ER_Proy!C10</t>
  </si>
  <si>
    <t xml:space="preserve">Tasa x (deuda inicial + 50 % del nuevo crédito)</t>
  </si>
  <si>
    <t xml:space="preserve">ER_Proy!C12</t>
  </si>
  <si>
    <t xml:space="preserve">MAX(0; utilidad antes de impuestos) x tarifa</t>
  </si>
  <si>
    <t xml:space="preserve">ER_Proy!C14</t>
  </si>
  <si>
    <t xml:space="preserve">Cuentas por cobrar</t>
  </si>
  <si>
    <t xml:space="preserve">Ventas x días de cartera / 365</t>
  </si>
  <si>
    <t xml:space="preserve">Balance_Proy!C6</t>
  </si>
  <si>
    <t xml:space="preserve">Costo de ventas x días de inventario / 365</t>
  </si>
  <si>
    <t xml:space="preserve">Balance_Proy!C7</t>
  </si>
  <si>
    <t xml:space="preserve">Costo de ventas x días de proveedores / 365</t>
  </si>
  <si>
    <t xml:space="preserve">Balance_Proy!C12</t>
  </si>
  <si>
    <t xml:space="preserve">PP&amp;E neto</t>
  </si>
  <si>
    <t xml:space="preserve">PP&amp;E inicial + capex - depreciación</t>
  </si>
  <si>
    <t xml:space="preserve">Balance_Proy!C10</t>
  </si>
  <si>
    <t xml:space="preserve">Deuda no corriente</t>
  </si>
  <si>
    <t xml:space="preserve">Deuda inicial + nuevo crédito - amortización - porción corriente</t>
  </si>
  <si>
    <t xml:space="preserve">Balance_Proy!C17</t>
  </si>
  <si>
    <t xml:space="preserve">Flujo de operación (indirecto)</t>
  </si>
  <si>
    <t xml:space="preserve">Utilidad neta + depreciación +/- cambios en capital de trabajo</t>
  </si>
  <si>
    <t xml:space="preserve">Flujo_Indirecto!C16</t>
  </si>
  <si>
    <t xml:space="preserve">Cobros a clientes (directo)</t>
  </si>
  <si>
    <t xml:space="preserve">Ventas - aumento de cuentas por cobrar</t>
  </si>
  <si>
    <t xml:space="preserve">Flujo_Directo!B6</t>
  </si>
  <si>
    <t xml:space="preserve">Pagos a proveedores (directo)</t>
  </si>
  <si>
    <t xml:space="preserve">Costo de ventas + aumento de inventarios - aumento de proveedores</t>
  </si>
  <si>
    <t xml:space="preserve">Flujo_Directo!B7</t>
  </si>
  <si>
    <t xml:space="preserve">Impuesto pagado</t>
  </si>
  <si>
    <t xml:space="preserve">Gasto por impuesto - aumento del impuesto por pagar</t>
  </si>
  <si>
    <t xml:space="preserve">Flujo_Indirecto!C32</t>
  </si>
  <si>
    <t xml:space="preserve">Utilidad Año 0 x % de distribución</t>
  </si>
  <si>
    <t xml:space="preserve">Flujo_Indirecto!C23</t>
  </si>
  <si>
    <t xml:space="preserve">Efectivo final</t>
  </si>
  <si>
    <t xml:space="preserve">Efectivo inicial + flujo operación + flujo inversión + flujo financiación</t>
  </si>
  <si>
    <t xml:space="preserve">Flujo_Indirecto!C27</t>
  </si>
  <si>
    <t xml:space="preserve">Razón corriente</t>
  </si>
  <si>
    <t xml:space="preserve">Activo corriente / pasivo corriente</t>
  </si>
  <si>
    <t xml:space="preserve">Ratios!B5:D5</t>
  </si>
  <si>
    <t xml:space="preserve">Ciclo de conversión de efectivo</t>
  </si>
  <si>
    <t xml:space="preserve">Días cartera + días inventario - días proveedores</t>
  </si>
  <si>
    <t xml:space="preserve">Ratios!B12:D12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</si>
</sst>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;\(0.0%\);\-"/>
    <numFmt numFmtId="166" formatCode="#,##0;\(#,##0\);\-"/>
    <numFmt numFmtId="167" formatCode="0"/>
    <numFmt numFmtId="168" formatCode="0.00;\(0.00\);\-"/>
    <numFmt numFmtId="169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theme="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23.85" hidden="false" customHeight="false" outlineLevel="0" collapsed="false">
      <c r="A10" s="3" t="s">
        <v>14</v>
      </c>
      <c r="B10" s="4" t="s">
        <v>15</v>
      </c>
    </row>
    <row r="12" customFormat="false" ht="15" hidden="false" customHeight="false" outlineLevel="0" collapsed="false">
      <c r="A12" s="3" t="s">
        <v>16</v>
      </c>
    </row>
    <row r="13" customFormat="false" ht="15" hidden="false" customHeight="false" outlineLevel="0" collapsed="false">
      <c r="A13" s="5" t="s">
        <v>17</v>
      </c>
    </row>
    <row r="14" customFormat="false" ht="15" hidden="false" customHeight="false" outlineLevel="0" collapsed="false">
      <c r="A14" s="6" t="s">
        <v>18</v>
      </c>
    </row>
    <row r="15" customFormat="false" ht="15" hidden="false" customHeight="false" outlineLevel="0" collapsed="false">
      <c r="A15" s="7" t="s">
        <v>19</v>
      </c>
    </row>
    <row r="16" customFormat="false" ht="15" hidden="false" customHeight="false" outlineLevel="0" collapsed="false">
      <c r="A16" s="8" t="s">
        <v>20</v>
      </c>
    </row>
    <row r="18" customFormat="false" ht="15" hidden="false" customHeight="false" outlineLevel="0" collapsed="false">
      <c r="A18" s="3" t="s">
        <v>21</v>
      </c>
    </row>
    <row r="19" customFormat="false" ht="15" hidden="false" customHeight="false" outlineLevel="0" collapsed="false">
      <c r="A19" s="3" t="s">
        <v>22</v>
      </c>
      <c r="B19" s="4" t="s">
        <v>23</v>
      </c>
    </row>
    <row r="20" customFormat="false" ht="15" hidden="false" customHeight="false" outlineLevel="0" collapsed="false">
      <c r="A20" s="3" t="s">
        <v>24</v>
      </c>
      <c r="B20" s="4" t="s">
        <v>25</v>
      </c>
    </row>
    <row r="21" customFormat="false" ht="15" hidden="false" customHeight="false" outlineLevel="0" collapsed="false">
      <c r="A21" s="3" t="s">
        <v>26</v>
      </c>
      <c r="B21" s="4" t="s">
        <v>27</v>
      </c>
    </row>
    <row r="22" customFormat="false" ht="15" hidden="false" customHeight="false" outlineLevel="0" collapsed="false">
      <c r="A22" s="3" t="s">
        <v>28</v>
      </c>
      <c r="B22" s="4" t="s">
        <v>29</v>
      </c>
    </row>
    <row r="23" customFormat="false" ht="15" hidden="false" customHeight="false" outlineLevel="0" collapsed="false">
      <c r="A23" s="3" t="s">
        <v>30</v>
      </c>
      <c r="B23" s="4" t="s">
        <v>31</v>
      </c>
    </row>
    <row r="24" customFormat="false" ht="15" hidden="false" customHeight="false" outlineLevel="0" collapsed="false">
      <c r="A24" s="3" t="s">
        <v>32</v>
      </c>
      <c r="B24" s="4" t="s">
        <v>33</v>
      </c>
    </row>
    <row r="25" customFormat="false" ht="15" hidden="false" customHeight="false" outlineLevel="0" collapsed="false">
      <c r="A25" s="3" t="s">
        <v>34</v>
      </c>
      <c r="B25" s="4" t="s">
        <v>35</v>
      </c>
    </row>
    <row r="26" customFormat="false" ht="15" hidden="false" customHeight="false" outlineLevel="0" collapsed="false">
      <c r="A26" s="3" t="s">
        <v>36</v>
      </c>
      <c r="B26" s="4" t="s">
        <v>37</v>
      </c>
    </row>
    <row r="27" customFormat="false" ht="15" hidden="false" customHeight="false" outlineLevel="0" collapsed="false">
      <c r="A27" s="3" t="s">
        <v>38</v>
      </c>
      <c r="B27" s="4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80"/>
    <col collapsed="false" customWidth="true" hidden="false" outlineLevel="0" max="5" min="5" style="0" width="26"/>
  </cols>
  <sheetData>
    <row r="1" customFormat="false" ht="17.35" hidden="false" customHeight="false" outlineLevel="0" collapsed="false">
      <c r="A1" s="1" t="s">
        <v>40</v>
      </c>
    </row>
    <row r="2" customFormat="false" ht="15" hidden="false" customHeight="false" outlineLevel="0" collapsed="false">
      <c r="A2" s="2" t="s">
        <v>41</v>
      </c>
    </row>
    <row r="4" customFormat="false" ht="15" hidden="false" customHeight="false" outlineLevel="0" collapsed="false">
      <c r="A4" s="9" t="s">
        <v>42</v>
      </c>
      <c r="B4" s="10" t="s">
        <v>43</v>
      </c>
      <c r="C4" s="10" t="s">
        <v>44</v>
      </c>
      <c r="D4" s="10" t="s">
        <v>45</v>
      </c>
      <c r="E4" s="10" t="s">
        <v>46</v>
      </c>
    </row>
    <row r="5" customFormat="false" ht="15" hidden="false" customHeight="false" outlineLevel="0" collapsed="false">
      <c r="A5" s="6" t="s">
        <v>47</v>
      </c>
      <c r="B5" s="11" t="n">
        <v>0.08</v>
      </c>
      <c r="C5" s="12" t="s">
        <v>48</v>
      </c>
      <c r="D5" s="4" t="s">
        <v>49</v>
      </c>
      <c r="E5" s="4" t="s">
        <v>50</v>
      </c>
    </row>
    <row r="6" customFormat="false" ht="15" hidden="false" customHeight="false" outlineLevel="0" collapsed="false">
      <c r="A6" s="6" t="s">
        <v>51</v>
      </c>
      <c r="B6" s="11" t="n">
        <v>0.645</v>
      </c>
      <c r="C6" s="12" t="s">
        <v>52</v>
      </c>
      <c r="D6" s="4" t="s">
        <v>53</v>
      </c>
      <c r="E6" s="4" t="s">
        <v>54</v>
      </c>
    </row>
    <row r="7" customFormat="false" ht="15" hidden="false" customHeight="false" outlineLevel="0" collapsed="false">
      <c r="A7" s="6" t="s">
        <v>55</v>
      </c>
      <c r="B7" s="11" t="n">
        <v>0.05</v>
      </c>
      <c r="C7" s="12" t="s">
        <v>48</v>
      </c>
      <c r="D7" s="4" t="s">
        <v>56</v>
      </c>
      <c r="E7" s="4" t="s">
        <v>57</v>
      </c>
    </row>
    <row r="8" customFormat="false" ht="15" hidden="false" customHeight="false" outlineLevel="0" collapsed="false">
      <c r="A8" s="6" t="s">
        <v>58</v>
      </c>
      <c r="B8" s="11" t="n">
        <v>0.074</v>
      </c>
      <c r="C8" s="12" t="s">
        <v>52</v>
      </c>
      <c r="D8" s="4" t="s">
        <v>59</v>
      </c>
      <c r="E8" s="4" t="s">
        <v>57</v>
      </c>
    </row>
    <row r="9" customFormat="false" ht="23.85" hidden="false" customHeight="false" outlineLevel="0" collapsed="false">
      <c r="A9" s="6" t="s">
        <v>60</v>
      </c>
      <c r="B9" s="11" t="n">
        <v>0.1</v>
      </c>
      <c r="C9" s="12" t="s">
        <v>48</v>
      </c>
      <c r="D9" s="4" t="s">
        <v>61</v>
      </c>
      <c r="E9" s="4" t="s">
        <v>62</v>
      </c>
    </row>
    <row r="10" customFormat="false" ht="15" hidden="false" customHeight="false" outlineLevel="0" collapsed="false">
      <c r="A10" s="6" t="s">
        <v>63</v>
      </c>
      <c r="B10" s="13" t="n">
        <v>1200</v>
      </c>
      <c r="C10" s="12" t="s">
        <v>64</v>
      </c>
      <c r="D10" s="4" t="s">
        <v>65</v>
      </c>
      <c r="E10" s="4" t="s">
        <v>66</v>
      </c>
    </row>
    <row r="11" customFormat="false" ht="15" hidden="false" customHeight="false" outlineLevel="0" collapsed="false">
      <c r="A11" s="6" t="s">
        <v>67</v>
      </c>
      <c r="B11" s="14" t="n">
        <v>60</v>
      </c>
      <c r="C11" s="12" t="s">
        <v>68</v>
      </c>
      <c r="D11" s="4" t="s">
        <v>69</v>
      </c>
      <c r="E11" s="4" t="s">
        <v>70</v>
      </c>
    </row>
    <row r="12" customFormat="false" ht="15" hidden="false" customHeight="false" outlineLevel="0" collapsed="false">
      <c r="A12" s="6" t="s">
        <v>71</v>
      </c>
      <c r="B12" s="14" t="n">
        <v>85</v>
      </c>
      <c r="C12" s="12" t="s">
        <v>68</v>
      </c>
      <c r="D12" s="4" t="s">
        <v>72</v>
      </c>
      <c r="E12" s="4" t="s">
        <v>73</v>
      </c>
    </row>
    <row r="13" customFormat="false" ht="15" hidden="false" customHeight="false" outlineLevel="0" collapsed="false">
      <c r="A13" s="6" t="s">
        <v>74</v>
      </c>
      <c r="B13" s="14" t="n">
        <v>58</v>
      </c>
      <c r="C13" s="12" t="s">
        <v>68</v>
      </c>
      <c r="D13" s="4" t="s">
        <v>75</v>
      </c>
      <c r="E13" s="4" t="s">
        <v>76</v>
      </c>
    </row>
    <row r="14" customFormat="false" ht="15" hidden="false" customHeight="false" outlineLevel="0" collapsed="false">
      <c r="A14" s="6" t="s">
        <v>77</v>
      </c>
      <c r="B14" s="11" t="n">
        <v>0.01</v>
      </c>
      <c r="C14" s="12" t="s">
        <v>52</v>
      </c>
      <c r="D14" s="4" t="s">
        <v>78</v>
      </c>
      <c r="E14" s="4" t="s">
        <v>79</v>
      </c>
    </row>
    <row r="15" customFormat="false" ht="15" hidden="false" customHeight="false" outlineLevel="0" collapsed="false">
      <c r="A15" s="6" t="s">
        <v>80</v>
      </c>
      <c r="B15" s="11" t="n">
        <v>0.022</v>
      </c>
      <c r="C15" s="12" t="s">
        <v>52</v>
      </c>
      <c r="D15" s="4" t="s">
        <v>81</v>
      </c>
      <c r="E15" s="4" t="s">
        <v>57</v>
      </c>
    </row>
    <row r="16" customFormat="false" ht="15" hidden="false" customHeight="false" outlineLevel="0" collapsed="false">
      <c r="A16" s="6" t="s">
        <v>82</v>
      </c>
      <c r="B16" s="11" t="n">
        <v>0.35</v>
      </c>
      <c r="C16" s="12" t="s">
        <v>83</v>
      </c>
      <c r="D16" s="4" t="s">
        <v>84</v>
      </c>
      <c r="E16" s="4" t="s">
        <v>85</v>
      </c>
    </row>
    <row r="17" customFormat="false" ht="15" hidden="false" customHeight="false" outlineLevel="0" collapsed="false">
      <c r="A17" s="6" t="s">
        <v>86</v>
      </c>
      <c r="B17" s="11" t="n">
        <v>0.36</v>
      </c>
      <c r="C17" s="12" t="s">
        <v>87</v>
      </c>
      <c r="D17" s="4" t="s">
        <v>88</v>
      </c>
      <c r="E17" s="4" t="s">
        <v>89</v>
      </c>
    </row>
    <row r="18" customFormat="false" ht="15" hidden="false" customHeight="false" outlineLevel="0" collapsed="false">
      <c r="A18" s="6" t="s">
        <v>90</v>
      </c>
      <c r="B18" s="11" t="n">
        <v>0.08</v>
      </c>
      <c r="C18" s="12" t="s">
        <v>48</v>
      </c>
      <c r="D18" s="4" t="s">
        <v>91</v>
      </c>
      <c r="E18" s="4" t="s">
        <v>92</v>
      </c>
    </row>
    <row r="19" customFormat="false" ht="15" hidden="false" customHeight="false" outlineLevel="0" collapsed="false">
      <c r="A19" s="6" t="s">
        <v>93</v>
      </c>
      <c r="B19" s="13" t="n">
        <v>600</v>
      </c>
      <c r="C19" s="12" t="s">
        <v>64</v>
      </c>
      <c r="D19" s="4" t="s">
        <v>94</v>
      </c>
      <c r="E19" s="4" t="s">
        <v>95</v>
      </c>
    </row>
    <row r="20" customFormat="false" ht="15" hidden="false" customHeight="false" outlineLevel="0" collapsed="false">
      <c r="A20" s="6" t="s">
        <v>96</v>
      </c>
      <c r="B20" s="13" t="n">
        <v>1000</v>
      </c>
      <c r="C20" s="12" t="s">
        <v>64</v>
      </c>
      <c r="D20" s="4" t="s">
        <v>97</v>
      </c>
      <c r="E20" s="4" t="s">
        <v>98</v>
      </c>
    </row>
    <row r="21" customFormat="false" ht="15" hidden="false" customHeight="false" outlineLevel="0" collapsed="false">
      <c r="A21" s="6" t="s">
        <v>99</v>
      </c>
      <c r="B21" s="13" t="n">
        <v>1000</v>
      </c>
      <c r="C21" s="12" t="s">
        <v>64</v>
      </c>
      <c r="D21" s="4" t="s">
        <v>100</v>
      </c>
      <c r="E21" s="4" t="s">
        <v>101</v>
      </c>
    </row>
    <row r="22" customFormat="false" ht="15" hidden="false" customHeight="false" outlineLevel="0" collapsed="false">
      <c r="A22" s="6" t="s">
        <v>102</v>
      </c>
      <c r="B22" s="11" t="n">
        <v>0.1</v>
      </c>
      <c r="C22" s="12" t="s">
        <v>103</v>
      </c>
      <c r="D22" s="4" t="s">
        <v>104</v>
      </c>
      <c r="E22" s="4" t="s">
        <v>105</v>
      </c>
    </row>
    <row r="23" customFormat="false" ht="15" hidden="false" customHeight="false" outlineLevel="0" collapsed="false">
      <c r="A23" s="6" t="s">
        <v>106</v>
      </c>
      <c r="B23" s="11" t="n">
        <v>0.5</v>
      </c>
      <c r="C23" s="12" t="s">
        <v>103</v>
      </c>
      <c r="D23" s="4" t="s">
        <v>107</v>
      </c>
      <c r="E23" s="4" t="s">
        <v>108</v>
      </c>
    </row>
    <row r="24" customFormat="false" ht="15" hidden="false" customHeight="false" outlineLevel="0" collapsed="false">
      <c r="A24" s="6" t="s">
        <v>109</v>
      </c>
      <c r="B24" s="14" t="n">
        <v>365</v>
      </c>
      <c r="C24" s="12" t="s">
        <v>68</v>
      </c>
      <c r="D24" s="4" t="s">
        <v>110</v>
      </c>
      <c r="E24" s="4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4"/>
  </cols>
  <sheetData>
    <row r="1" customFormat="false" ht="17.35" hidden="false" customHeight="false" outlineLevel="0" collapsed="false">
      <c r="A1" s="1" t="s">
        <v>112</v>
      </c>
    </row>
    <row r="2" customFormat="false" ht="15" hidden="false" customHeight="false" outlineLevel="0" collapsed="false">
      <c r="A2" s="2" t="s">
        <v>113</v>
      </c>
    </row>
    <row r="4" customFormat="false" ht="15" hidden="false" customHeight="false" outlineLevel="0" collapsed="false">
      <c r="A4" s="9" t="s">
        <v>114</v>
      </c>
      <c r="B4" s="10" t="s">
        <v>115</v>
      </c>
      <c r="C4" s="10" t="s">
        <v>116</v>
      </c>
    </row>
    <row r="5" customFormat="false" ht="15" hidden="false" customHeight="false" outlineLevel="0" collapsed="false">
      <c r="A5" s="15" t="s">
        <v>117</v>
      </c>
      <c r="B5" s="16"/>
      <c r="C5" s="16"/>
    </row>
    <row r="6" customFormat="false" ht="15" hidden="false" customHeight="false" outlineLevel="0" collapsed="false">
      <c r="A6" s="6" t="s">
        <v>118</v>
      </c>
      <c r="B6" s="13" t="n">
        <v>18400</v>
      </c>
      <c r="C6" s="13" t="n">
        <v>20240</v>
      </c>
    </row>
    <row r="7" customFormat="false" ht="15" hidden="false" customHeight="false" outlineLevel="0" collapsed="false">
      <c r="A7" s="6" t="s">
        <v>119</v>
      </c>
      <c r="B7" s="13" t="n">
        <v>11960</v>
      </c>
      <c r="C7" s="13" t="n">
        <v>13055</v>
      </c>
    </row>
    <row r="8" customFormat="false" ht="15" hidden="false" customHeight="false" outlineLevel="0" collapsed="false">
      <c r="A8" s="17" t="s">
        <v>120</v>
      </c>
      <c r="B8" s="18" t="n">
        <f aca="false">B6-B7</f>
        <v>6440</v>
      </c>
      <c r="C8" s="18" t="n">
        <f aca="false">C6-C7</f>
        <v>7185</v>
      </c>
    </row>
    <row r="9" customFormat="false" ht="15" hidden="false" customHeight="false" outlineLevel="0" collapsed="false">
      <c r="A9" s="6" t="s">
        <v>121</v>
      </c>
      <c r="B9" s="13" t="n">
        <v>1840</v>
      </c>
      <c r="C9" s="13" t="n">
        <v>1960</v>
      </c>
    </row>
    <row r="10" customFormat="false" ht="15" hidden="false" customHeight="false" outlineLevel="0" collapsed="false">
      <c r="A10" s="6" t="s">
        <v>122</v>
      </c>
      <c r="B10" s="13" t="n">
        <v>1380</v>
      </c>
      <c r="C10" s="13" t="n">
        <v>1500</v>
      </c>
    </row>
    <row r="11" customFormat="false" ht="15" hidden="false" customHeight="false" outlineLevel="0" collapsed="false">
      <c r="A11" s="6" t="s">
        <v>123</v>
      </c>
      <c r="B11" s="13" t="n">
        <v>900</v>
      </c>
      <c r="C11" s="13" t="n">
        <v>950</v>
      </c>
    </row>
    <row r="12" customFormat="false" ht="15" hidden="false" customHeight="false" outlineLevel="0" collapsed="false">
      <c r="A12" s="17" t="s">
        <v>124</v>
      </c>
      <c r="B12" s="18" t="n">
        <f aca="false">B8-B9-B10-B11</f>
        <v>2320</v>
      </c>
      <c r="C12" s="18" t="n">
        <f aca="false">C8-C9-C10-C11</f>
        <v>2775</v>
      </c>
    </row>
    <row r="13" customFormat="false" ht="15" hidden="false" customHeight="false" outlineLevel="0" collapsed="false">
      <c r="A13" s="6" t="s">
        <v>125</v>
      </c>
      <c r="B13" s="13" t="n">
        <v>380</v>
      </c>
      <c r="C13" s="13" t="n">
        <v>410</v>
      </c>
    </row>
    <row r="14" customFormat="false" ht="15" hidden="false" customHeight="false" outlineLevel="0" collapsed="false">
      <c r="A14" s="17" t="s">
        <v>126</v>
      </c>
      <c r="B14" s="18" t="n">
        <f aca="false">B12-B13</f>
        <v>1940</v>
      </c>
      <c r="C14" s="18" t="n">
        <f aca="false">C12-C13</f>
        <v>2365</v>
      </c>
    </row>
    <row r="15" customFormat="false" ht="15" hidden="false" customHeight="false" outlineLevel="0" collapsed="false">
      <c r="A15" s="6" t="s">
        <v>127</v>
      </c>
      <c r="B15" s="13" t="n">
        <v>679</v>
      </c>
      <c r="C15" s="13" t="n">
        <v>828</v>
      </c>
    </row>
    <row r="16" customFormat="false" ht="15" hidden="false" customHeight="false" outlineLevel="0" collapsed="false">
      <c r="A16" s="17" t="s">
        <v>128</v>
      </c>
      <c r="B16" s="18" t="n">
        <f aca="false">B14-B15</f>
        <v>1261</v>
      </c>
      <c r="C16" s="18" t="n">
        <f aca="false">C14-C15</f>
        <v>1537</v>
      </c>
    </row>
    <row r="18" customFormat="false" ht="15" hidden="false" customHeight="false" outlineLevel="0" collapsed="false">
      <c r="A18" s="15" t="s">
        <v>129</v>
      </c>
      <c r="B18" s="16"/>
      <c r="C18" s="16"/>
    </row>
    <row r="19" customFormat="false" ht="15" hidden="false" customHeight="false" outlineLevel="0" collapsed="false">
      <c r="A19" s="6" t="s">
        <v>130</v>
      </c>
      <c r="B19" s="13" t="n">
        <v>1523</v>
      </c>
      <c r="C19" s="13" t="n">
        <v>1450</v>
      </c>
    </row>
    <row r="20" customFormat="false" ht="15" hidden="false" customHeight="false" outlineLevel="0" collapsed="false">
      <c r="A20" s="6" t="s">
        <v>131</v>
      </c>
      <c r="B20" s="13" t="n">
        <v>3000</v>
      </c>
      <c r="C20" s="13" t="n">
        <v>3300</v>
      </c>
    </row>
    <row r="21" customFormat="false" ht="15" hidden="false" customHeight="false" outlineLevel="0" collapsed="false">
      <c r="A21" s="6" t="s">
        <v>132</v>
      </c>
      <c r="B21" s="13" t="n">
        <v>2900</v>
      </c>
      <c r="C21" s="13" t="n">
        <v>3100</v>
      </c>
    </row>
    <row r="22" customFormat="false" ht="15" hidden="false" customHeight="false" outlineLevel="0" collapsed="false">
      <c r="A22" s="6" t="s">
        <v>133</v>
      </c>
      <c r="B22" s="13" t="n">
        <v>180</v>
      </c>
      <c r="C22" s="13" t="n">
        <v>200</v>
      </c>
    </row>
    <row r="23" customFormat="false" ht="15" hidden="false" customHeight="false" outlineLevel="0" collapsed="false">
      <c r="A23" s="17" t="s">
        <v>134</v>
      </c>
      <c r="B23" s="18" t="n">
        <f aca="false">SUM(B19:B22)</f>
        <v>7603</v>
      </c>
      <c r="C23" s="18" t="n">
        <f aca="false">SUM(C19:C22)</f>
        <v>8050</v>
      </c>
    </row>
    <row r="24" customFormat="false" ht="15" hidden="false" customHeight="false" outlineLevel="0" collapsed="false">
      <c r="A24" s="6" t="s">
        <v>135</v>
      </c>
      <c r="B24" s="13" t="n">
        <v>10000</v>
      </c>
      <c r="C24" s="13" t="n">
        <v>9600</v>
      </c>
    </row>
    <row r="25" customFormat="false" ht="15" hidden="false" customHeight="false" outlineLevel="0" collapsed="false">
      <c r="A25" s="17" t="s">
        <v>136</v>
      </c>
      <c r="B25" s="18" t="n">
        <f aca="false">B23+B24</f>
        <v>17603</v>
      </c>
      <c r="C25" s="18" t="n">
        <f aca="false">C23+C24</f>
        <v>17650</v>
      </c>
    </row>
    <row r="26" customFormat="false" ht="15" hidden="false" customHeight="false" outlineLevel="0" collapsed="false">
      <c r="A26" s="6" t="s">
        <v>137</v>
      </c>
      <c r="B26" s="13" t="n">
        <v>1950</v>
      </c>
      <c r="C26" s="13" t="n">
        <v>2100</v>
      </c>
    </row>
    <row r="27" customFormat="false" ht="15" hidden="false" customHeight="false" outlineLevel="0" collapsed="false">
      <c r="A27" s="6" t="s">
        <v>138</v>
      </c>
      <c r="B27" s="13" t="n">
        <v>420</v>
      </c>
      <c r="C27" s="13" t="n">
        <v>450</v>
      </c>
    </row>
    <row r="28" customFormat="false" ht="15" hidden="false" customHeight="false" outlineLevel="0" collapsed="false">
      <c r="A28" s="6" t="s">
        <v>139</v>
      </c>
      <c r="B28" s="13" t="n">
        <v>270</v>
      </c>
      <c r="C28" s="13" t="n">
        <v>300</v>
      </c>
    </row>
    <row r="29" customFormat="false" ht="15" hidden="false" customHeight="false" outlineLevel="0" collapsed="false">
      <c r="A29" s="6" t="s">
        <v>140</v>
      </c>
      <c r="B29" s="13" t="n">
        <v>1000</v>
      </c>
      <c r="C29" s="13" t="n">
        <v>1000</v>
      </c>
    </row>
    <row r="30" customFormat="false" ht="15" hidden="false" customHeight="false" outlineLevel="0" collapsed="false">
      <c r="A30" s="17" t="s">
        <v>141</v>
      </c>
      <c r="B30" s="18" t="n">
        <f aca="false">SUM(B26:B29)</f>
        <v>3640</v>
      </c>
      <c r="C30" s="18" t="n">
        <f aca="false">SUM(C26:C29)</f>
        <v>3850</v>
      </c>
    </row>
    <row r="31" customFormat="false" ht="15" hidden="false" customHeight="false" outlineLevel="0" collapsed="false">
      <c r="A31" s="6" t="s">
        <v>142</v>
      </c>
      <c r="B31" s="13" t="n">
        <v>5000</v>
      </c>
      <c r="C31" s="13" t="n">
        <v>4000</v>
      </c>
    </row>
    <row r="32" customFormat="false" ht="15" hidden="false" customHeight="false" outlineLevel="0" collapsed="false">
      <c r="A32" s="17" t="s">
        <v>143</v>
      </c>
      <c r="B32" s="18" t="n">
        <f aca="false">B30+B31</f>
        <v>8640</v>
      </c>
      <c r="C32" s="18" t="n">
        <f aca="false">C30+C31</f>
        <v>7850</v>
      </c>
    </row>
    <row r="33" customFormat="false" ht="15" hidden="false" customHeight="false" outlineLevel="0" collapsed="false">
      <c r="A33" s="6" t="s">
        <v>144</v>
      </c>
      <c r="B33" s="13" t="n">
        <v>5000</v>
      </c>
      <c r="C33" s="13" t="n">
        <v>5000</v>
      </c>
    </row>
    <row r="34" customFormat="false" ht="15" hidden="false" customHeight="false" outlineLevel="0" collapsed="false">
      <c r="A34" s="6" t="s">
        <v>145</v>
      </c>
      <c r="B34" s="13" t="n">
        <v>1300</v>
      </c>
      <c r="C34" s="13" t="n">
        <v>1500</v>
      </c>
    </row>
    <row r="35" customFormat="false" ht="15" hidden="false" customHeight="false" outlineLevel="0" collapsed="false">
      <c r="A35" s="6" t="s">
        <v>146</v>
      </c>
      <c r="B35" s="13" t="n">
        <v>1402</v>
      </c>
      <c r="C35" s="13" t="n">
        <v>1763</v>
      </c>
    </row>
    <row r="36" customFormat="false" ht="15" hidden="false" customHeight="false" outlineLevel="0" collapsed="false">
      <c r="A36" s="6" t="s">
        <v>147</v>
      </c>
      <c r="B36" s="19" t="n">
        <f aca="false">B16</f>
        <v>1261</v>
      </c>
      <c r="C36" s="19" t="n">
        <f aca="false">C16</f>
        <v>1537</v>
      </c>
    </row>
    <row r="37" customFormat="false" ht="15" hidden="false" customHeight="false" outlineLevel="0" collapsed="false">
      <c r="A37" s="17" t="s">
        <v>148</v>
      </c>
      <c r="B37" s="18" t="n">
        <f aca="false">SUM(B33:B36)</f>
        <v>8963</v>
      </c>
      <c r="C37" s="18" t="n">
        <f aca="false">SUM(C33:C36)</f>
        <v>9800</v>
      </c>
    </row>
    <row r="38" customFormat="false" ht="15" hidden="false" customHeight="false" outlineLevel="0" collapsed="false">
      <c r="A38" s="17" t="s">
        <v>149</v>
      </c>
      <c r="B38" s="18" t="n">
        <f aca="false">B32+B37</f>
        <v>17603</v>
      </c>
      <c r="C38" s="18" t="n">
        <f aca="false">C32+C37</f>
        <v>17650</v>
      </c>
    </row>
    <row r="39" customFormat="false" ht="15" hidden="false" customHeight="false" outlineLevel="0" collapsed="false">
      <c r="A39" s="20" t="s">
        <v>150</v>
      </c>
      <c r="B39" s="19" t="n">
        <f aca="false">B25-B38</f>
        <v>0</v>
      </c>
      <c r="C39" s="19" t="n">
        <f aca="false">C25-C38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8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151</v>
      </c>
    </row>
    <row r="2" customFormat="false" ht="15" hidden="false" customHeight="false" outlineLevel="0" collapsed="false">
      <c r="A2" s="2" t="s">
        <v>152</v>
      </c>
    </row>
    <row r="4" customFormat="false" ht="15" hidden="false" customHeight="false" outlineLevel="0" collapsed="false">
      <c r="A4" s="9" t="s">
        <v>114</v>
      </c>
      <c r="B4" s="10" t="s">
        <v>153</v>
      </c>
      <c r="C4" s="10" t="s">
        <v>154</v>
      </c>
      <c r="D4" s="10" t="s">
        <v>155</v>
      </c>
    </row>
    <row r="5" customFormat="false" ht="15" hidden="false" customHeight="false" outlineLevel="0" collapsed="false">
      <c r="A5" s="6" t="s">
        <v>118</v>
      </c>
      <c r="B5" s="21" t="n">
        <f aca="false">Historicos!C6</f>
        <v>20240</v>
      </c>
      <c r="C5" s="19" t="n">
        <f aca="false">B5*(1+Supuestos!$B$5)</f>
        <v>21859.2</v>
      </c>
      <c r="D5" s="22" t="n">
        <f aca="false">IF(B5=0,0,C5/B5-1)</f>
        <v>0.0800000000000001</v>
      </c>
    </row>
    <row r="6" customFormat="false" ht="15" hidden="false" customHeight="false" outlineLevel="0" collapsed="false">
      <c r="A6" s="6" t="s">
        <v>119</v>
      </c>
      <c r="B6" s="21" t="n">
        <f aca="false">Historicos!C7</f>
        <v>13055</v>
      </c>
      <c r="C6" s="19" t="n">
        <f aca="false">C5*Supuestos!$B$6</f>
        <v>14099.184</v>
      </c>
      <c r="D6" s="22" t="n">
        <f aca="false">IF(B6=0,0,C6/B6-1)</f>
        <v>0.0799834546150902</v>
      </c>
    </row>
    <row r="7" customFormat="false" ht="15" hidden="false" customHeight="false" outlineLevel="0" collapsed="false">
      <c r="A7" s="17" t="s">
        <v>120</v>
      </c>
      <c r="B7" s="18" t="n">
        <f aca="false">B5-B6</f>
        <v>7185</v>
      </c>
      <c r="C7" s="18" t="n">
        <f aca="false">C5-C6</f>
        <v>7760.016</v>
      </c>
      <c r="D7" s="23" t="n">
        <f aca="false">IF(B7=0,0,C7/B7-1)</f>
        <v>0.0800300626304802</v>
      </c>
    </row>
    <row r="8" customFormat="false" ht="15" hidden="false" customHeight="false" outlineLevel="0" collapsed="false">
      <c r="A8" s="6" t="s">
        <v>121</v>
      </c>
      <c r="B8" s="21" t="n">
        <f aca="false">Historicos!C9</f>
        <v>1960</v>
      </c>
      <c r="C8" s="19" t="n">
        <f aca="false">B8*(1+Supuestos!$B$7)</f>
        <v>2058</v>
      </c>
      <c r="D8" s="22" t="n">
        <f aca="false">IF(B8=0,0,C8/B8-1)</f>
        <v>0.05</v>
      </c>
    </row>
    <row r="9" customFormat="false" ht="15" hidden="false" customHeight="false" outlineLevel="0" collapsed="false">
      <c r="A9" s="6" t="s">
        <v>122</v>
      </c>
      <c r="B9" s="21" t="n">
        <f aca="false">Historicos!C10</f>
        <v>1500</v>
      </c>
      <c r="C9" s="19" t="n">
        <f aca="false">C5*Supuestos!$B$8</f>
        <v>1617.5808</v>
      </c>
      <c r="D9" s="22" t="n">
        <f aca="false">IF(B9=0,0,C9/B9-1)</f>
        <v>0.0783871999999999</v>
      </c>
    </row>
    <row r="10" customFormat="false" ht="15" hidden="false" customHeight="false" outlineLevel="0" collapsed="false">
      <c r="A10" s="6" t="s">
        <v>123</v>
      </c>
      <c r="B10" s="21" t="n">
        <f aca="false">Historicos!C11</f>
        <v>950</v>
      </c>
      <c r="C10" s="19" t="n">
        <f aca="false">Supuestos!$B$9*(Historicos!C24+0.5*Supuestos!$B$10)</f>
        <v>1020</v>
      </c>
      <c r="D10" s="22" t="n">
        <f aca="false">IF(B10=0,0,C10/B10-1)</f>
        <v>0.0736842105263158</v>
      </c>
    </row>
    <row r="11" customFormat="false" ht="15" hidden="false" customHeight="false" outlineLevel="0" collapsed="false">
      <c r="A11" s="17" t="s">
        <v>124</v>
      </c>
      <c r="B11" s="18" t="n">
        <f aca="false">B7-B8-B9-B10</f>
        <v>2775</v>
      </c>
      <c r="C11" s="18" t="n">
        <f aca="false">C7-C8-C9-C10</f>
        <v>3064.4352</v>
      </c>
      <c r="D11" s="23" t="n">
        <f aca="false">IF(B11=0,0,C11/B11-1)</f>
        <v>0.104300972972973</v>
      </c>
    </row>
    <row r="12" customFormat="false" ht="15" hidden="false" customHeight="false" outlineLevel="0" collapsed="false">
      <c r="A12" s="6" t="s">
        <v>125</v>
      </c>
      <c r="B12" s="21" t="n">
        <f aca="false">Historicos!C13</f>
        <v>410</v>
      </c>
      <c r="C12" s="19" t="n">
        <f aca="false">Supuestos!$B$18*(Historicos!C29+Historicos!C31+0.5*Supuestos!$B$19)</f>
        <v>424</v>
      </c>
      <c r="D12" s="22" t="n">
        <f aca="false">IF(B12=0,0,C12/B12-1)</f>
        <v>0.0341463414634147</v>
      </c>
    </row>
    <row r="13" customFormat="false" ht="15" hidden="false" customHeight="false" outlineLevel="0" collapsed="false">
      <c r="A13" s="17" t="s">
        <v>126</v>
      </c>
      <c r="B13" s="18" t="n">
        <f aca="false">B11-B12</f>
        <v>2365</v>
      </c>
      <c r="C13" s="18" t="n">
        <f aca="false">C11-C12</f>
        <v>2640.4352</v>
      </c>
      <c r="D13" s="23" t="n">
        <f aca="false">IF(B13=0,0,C13/B13-1)</f>
        <v>0.116463086680761</v>
      </c>
    </row>
    <row r="14" customFormat="false" ht="15" hidden="false" customHeight="false" outlineLevel="0" collapsed="false">
      <c r="A14" s="6" t="s">
        <v>127</v>
      </c>
      <c r="B14" s="21" t="n">
        <f aca="false">Historicos!C15</f>
        <v>828</v>
      </c>
      <c r="C14" s="19" t="n">
        <f aca="false">MAX(0,C13)*Supuestos!$B$16</f>
        <v>924.15232</v>
      </c>
      <c r="D14" s="22" t="n">
        <f aca="false">IF(B14=0,0,C14/B14-1)</f>
        <v>0.116125990338164</v>
      </c>
    </row>
    <row r="15" customFormat="false" ht="15" hidden="false" customHeight="false" outlineLevel="0" collapsed="false">
      <c r="A15" s="17" t="s">
        <v>128</v>
      </c>
      <c r="B15" s="18" t="n">
        <f aca="false">B13-B14</f>
        <v>1537</v>
      </c>
      <c r="C15" s="18" t="n">
        <f aca="false">C13-C14</f>
        <v>1716.28288</v>
      </c>
      <c r="D15" s="23" t="n">
        <f aca="false">IF(B15=0,0,C15/B15-1)</f>
        <v>0.116644684450228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8"/>
  </cols>
  <sheetData>
    <row r="1" customFormat="false" ht="17.35" hidden="false" customHeight="false" outlineLevel="0" collapsed="false">
      <c r="A1" s="1" t="s">
        <v>156</v>
      </c>
    </row>
    <row r="2" customFormat="false" ht="15" hidden="false" customHeight="false" outlineLevel="0" collapsed="false">
      <c r="A2" s="2" t="s">
        <v>157</v>
      </c>
    </row>
    <row r="4" customFormat="false" ht="15" hidden="false" customHeight="false" outlineLevel="0" collapsed="false">
      <c r="A4" s="9" t="s">
        <v>114</v>
      </c>
      <c r="B4" s="10" t="s">
        <v>153</v>
      </c>
      <c r="C4" s="10" t="s">
        <v>154</v>
      </c>
    </row>
    <row r="5" customFormat="false" ht="15" hidden="false" customHeight="false" outlineLevel="0" collapsed="false">
      <c r="A5" s="6" t="s">
        <v>130</v>
      </c>
      <c r="B5" s="21" t="n">
        <f aca="false">Historicos!C19</f>
        <v>1450</v>
      </c>
      <c r="C5" s="21" t="n">
        <f aca="false">Flujo_Indirecto!C27</f>
        <v>1526.54162752877</v>
      </c>
    </row>
    <row r="6" customFormat="false" ht="15" hidden="false" customHeight="false" outlineLevel="0" collapsed="false">
      <c r="A6" s="6" t="s">
        <v>131</v>
      </c>
      <c r="B6" s="21" t="n">
        <f aca="false">Historicos!C20</f>
        <v>3300</v>
      </c>
      <c r="C6" s="19" t="n">
        <f aca="false">ER_Proy!C5*Supuestos!$B$11/Supuestos!$B$24</f>
        <v>3593.29315068493</v>
      </c>
    </row>
    <row r="7" customFormat="false" ht="15" hidden="false" customHeight="false" outlineLevel="0" collapsed="false">
      <c r="A7" s="6" t="s">
        <v>132</v>
      </c>
      <c r="B7" s="21" t="n">
        <f aca="false">Historicos!C21</f>
        <v>3100</v>
      </c>
      <c r="C7" s="19" t="n">
        <f aca="false">ER_Proy!C6*Supuestos!$B$12/Supuestos!$B$24</f>
        <v>3283.37161643836</v>
      </c>
    </row>
    <row r="8" customFormat="false" ht="15" hidden="false" customHeight="false" outlineLevel="0" collapsed="false">
      <c r="A8" s="6" t="s">
        <v>133</v>
      </c>
      <c r="B8" s="21" t="n">
        <f aca="false">Historicos!C22</f>
        <v>200</v>
      </c>
      <c r="C8" s="19" t="n">
        <f aca="false">ER_Proy!C5*Supuestos!$B$14</f>
        <v>218.592</v>
      </c>
    </row>
    <row r="9" customFormat="false" ht="15" hidden="false" customHeight="false" outlineLevel="0" collapsed="false">
      <c r="A9" s="17" t="s">
        <v>134</v>
      </c>
      <c r="B9" s="18" t="n">
        <f aca="false">SUM(B5:B8)</f>
        <v>8050</v>
      </c>
      <c r="C9" s="18" t="n">
        <f aca="false">SUM(C5:C8)</f>
        <v>8621.79839465205</v>
      </c>
    </row>
    <row r="10" customFormat="false" ht="15" hidden="false" customHeight="false" outlineLevel="0" collapsed="false">
      <c r="A10" s="6" t="s">
        <v>135</v>
      </c>
      <c r="B10" s="21" t="n">
        <f aca="false">Historicos!C24</f>
        <v>9600</v>
      </c>
      <c r="C10" s="19" t="n">
        <f aca="false">B10+Supuestos!$B$10-ER_Proy!C10</f>
        <v>9780</v>
      </c>
    </row>
    <row r="11" customFormat="false" ht="15" hidden="false" customHeight="false" outlineLevel="0" collapsed="false">
      <c r="A11" s="17" t="s">
        <v>136</v>
      </c>
      <c r="B11" s="18" t="n">
        <f aca="false">B9+B10</f>
        <v>17650</v>
      </c>
      <c r="C11" s="18" t="n">
        <f aca="false">C9+C10</f>
        <v>18401.7983946521</v>
      </c>
    </row>
    <row r="12" customFormat="false" ht="15" hidden="false" customHeight="false" outlineLevel="0" collapsed="false">
      <c r="A12" s="6" t="s">
        <v>137</v>
      </c>
      <c r="B12" s="21" t="n">
        <f aca="false">Historicos!C26</f>
        <v>2100</v>
      </c>
      <c r="C12" s="19" t="n">
        <f aca="false">ER_Proy!C6*Supuestos!$B$13/Supuestos!$B$24</f>
        <v>2240.41827945206</v>
      </c>
    </row>
    <row r="13" customFormat="false" ht="15" hidden="false" customHeight="false" outlineLevel="0" collapsed="false">
      <c r="A13" s="6" t="s">
        <v>138</v>
      </c>
      <c r="B13" s="21" t="n">
        <f aca="false">Historicos!C27</f>
        <v>450</v>
      </c>
      <c r="C13" s="19" t="n">
        <f aca="false">ER_Proy!C5*Supuestos!$B$15</f>
        <v>480.9024</v>
      </c>
    </row>
    <row r="14" customFormat="false" ht="15" hidden="false" customHeight="false" outlineLevel="0" collapsed="false">
      <c r="A14" s="6" t="s">
        <v>139</v>
      </c>
      <c r="B14" s="21" t="n">
        <f aca="false">Historicos!C28</f>
        <v>300</v>
      </c>
      <c r="C14" s="19" t="n">
        <f aca="false">ER_Proy!C14*Supuestos!$B$17</f>
        <v>332.6948352</v>
      </c>
    </row>
    <row r="15" customFormat="false" ht="15" hidden="false" customHeight="false" outlineLevel="0" collapsed="false">
      <c r="A15" s="6" t="s">
        <v>140</v>
      </c>
      <c r="B15" s="21" t="n">
        <f aca="false">Historicos!C29</f>
        <v>1000</v>
      </c>
      <c r="C15" s="21" t="n">
        <f aca="false">Supuestos!$B$21</f>
        <v>1000</v>
      </c>
    </row>
    <row r="16" customFormat="false" ht="15" hidden="false" customHeight="false" outlineLevel="0" collapsed="false">
      <c r="A16" s="17" t="s">
        <v>141</v>
      </c>
      <c r="B16" s="18" t="n">
        <f aca="false">SUM(B12:B15)</f>
        <v>3850</v>
      </c>
      <c r="C16" s="18" t="n">
        <f aca="false">SUM(C12:C15)</f>
        <v>4054.01551465205</v>
      </c>
    </row>
    <row r="17" customFormat="false" ht="15" hidden="false" customHeight="false" outlineLevel="0" collapsed="false">
      <c r="A17" s="6" t="s">
        <v>142</v>
      </c>
      <c r="B17" s="21" t="n">
        <f aca="false">Historicos!C31</f>
        <v>4000</v>
      </c>
      <c r="C17" s="19" t="n">
        <f aca="false">(Historicos!C29+Historicos!C31+Supuestos!$B$19-Supuestos!$B$20)-C15</f>
        <v>3600</v>
      </c>
    </row>
    <row r="18" customFormat="false" ht="15" hidden="false" customHeight="false" outlineLevel="0" collapsed="false">
      <c r="A18" s="17" t="s">
        <v>143</v>
      </c>
      <c r="B18" s="18" t="n">
        <f aca="false">B16+B17</f>
        <v>7850</v>
      </c>
      <c r="C18" s="18" t="n">
        <f aca="false">C16+C17</f>
        <v>7654.01551465206</v>
      </c>
    </row>
    <row r="19" customFormat="false" ht="15" hidden="false" customHeight="false" outlineLevel="0" collapsed="false">
      <c r="A19" s="6" t="s">
        <v>144</v>
      </c>
      <c r="B19" s="21" t="n">
        <f aca="false">Historicos!C33</f>
        <v>5000</v>
      </c>
      <c r="C19" s="19" t="n">
        <f aca="false">B19</f>
        <v>5000</v>
      </c>
    </row>
    <row r="20" customFormat="false" ht="15" hidden="false" customHeight="false" outlineLevel="0" collapsed="false">
      <c r="A20" s="6" t="s">
        <v>145</v>
      </c>
      <c r="B20" s="21" t="n">
        <f aca="false">Historicos!C34</f>
        <v>1500</v>
      </c>
      <c r="C20" s="19" t="n">
        <f aca="false">B20+Historicos!C16*Supuestos!$B$22</f>
        <v>1653.7</v>
      </c>
    </row>
    <row r="21" customFormat="false" ht="15" hidden="false" customHeight="false" outlineLevel="0" collapsed="false">
      <c r="A21" s="6" t="s">
        <v>146</v>
      </c>
      <c r="B21" s="21" t="n">
        <f aca="false">Historicos!C35</f>
        <v>1763</v>
      </c>
      <c r="C21" s="19" t="n">
        <f aca="false">B21+Historicos!C16*(1-Supuestos!$B$22-Supuestos!$B$23)</f>
        <v>2377.8</v>
      </c>
    </row>
    <row r="22" customFormat="false" ht="15" hidden="false" customHeight="false" outlineLevel="0" collapsed="false">
      <c r="A22" s="6" t="s">
        <v>147</v>
      </c>
      <c r="B22" s="21" t="n">
        <f aca="false">Historicos!C36</f>
        <v>1537</v>
      </c>
      <c r="C22" s="21" t="n">
        <f aca="false">ER_Proy!C15</f>
        <v>1716.28288</v>
      </c>
    </row>
    <row r="23" customFormat="false" ht="15" hidden="false" customHeight="false" outlineLevel="0" collapsed="false">
      <c r="A23" s="17" t="s">
        <v>148</v>
      </c>
      <c r="B23" s="18" t="n">
        <f aca="false">SUM(B19:B22)</f>
        <v>9800</v>
      </c>
      <c r="C23" s="18" t="n">
        <f aca="false">SUM(C19:C22)</f>
        <v>10747.78288</v>
      </c>
    </row>
    <row r="24" customFormat="false" ht="15" hidden="false" customHeight="false" outlineLevel="0" collapsed="false">
      <c r="A24" s="17" t="s">
        <v>149</v>
      </c>
      <c r="B24" s="18" t="n">
        <f aca="false">B18+B23</f>
        <v>17650</v>
      </c>
      <c r="C24" s="18" t="n">
        <f aca="false">C18+C23</f>
        <v>18401.7983946521</v>
      </c>
    </row>
    <row r="25" customFormat="false" ht="15" hidden="false" customHeight="false" outlineLevel="0" collapsed="false">
      <c r="A25" s="6" t="s">
        <v>158</v>
      </c>
      <c r="B25" s="19" t="n">
        <f aca="false">B11-B24</f>
        <v>0</v>
      </c>
      <c r="C25" s="19" t="n">
        <f aca="false">C11-C24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20"/>
  </cols>
  <sheetData>
    <row r="1" customFormat="false" ht="17.35" hidden="false" customHeight="false" outlineLevel="0" collapsed="false">
      <c r="A1" s="1" t="s">
        <v>159</v>
      </c>
    </row>
    <row r="2" customFormat="false" ht="15" hidden="false" customHeight="false" outlineLevel="0" collapsed="false">
      <c r="A2" s="2" t="s">
        <v>160</v>
      </c>
    </row>
    <row r="4" customFormat="false" ht="15" hidden="false" customHeight="false" outlineLevel="0" collapsed="false">
      <c r="A4" s="9" t="s">
        <v>114</v>
      </c>
      <c r="B4" s="10" t="s">
        <v>161</v>
      </c>
      <c r="C4" s="10" t="s">
        <v>154</v>
      </c>
      <c r="D4" s="10" t="s">
        <v>162</v>
      </c>
    </row>
    <row r="5" customFormat="false" ht="15" hidden="false" customHeight="false" outlineLevel="0" collapsed="false">
      <c r="A5" s="15" t="s">
        <v>163</v>
      </c>
      <c r="B5" s="16"/>
      <c r="C5" s="16"/>
      <c r="D5" s="16"/>
    </row>
    <row r="6" customFormat="false" ht="15" hidden="false" customHeight="false" outlineLevel="0" collapsed="false">
      <c r="A6" s="6" t="s">
        <v>164</v>
      </c>
      <c r="B6" s="21" t="n">
        <f aca="false">Historicos!C16</f>
        <v>1537</v>
      </c>
      <c r="C6" s="21" t="n">
        <f aca="false">ER_Proy!C15</f>
        <v>1716.28288</v>
      </c>
      <c r="D6" s="6" t="s">
        <v>165</v>
      </c>
    </row>
    <row r="7" customFormat="false" ht="15" hidden="false" customHeight="false" outlineLevel="0" collapsed="false">
      <c r="A7" s="20" t="s">
        <v>166</v>
      </c>
    </row>
    <row r="8" customFormat="false" ht="15" hidden="false" customHeight="false" outlineLevel="0" collapsed="false">
      <c r="A8" s="6" t="s">
        <v>167</v>
      </c>
      <c r="B8" s="21" t="n">
        <f aca="false">Historicos!C11</f>
        <v>950</v>
      </c>
      <c r="C8" s="21" t="n">
        <f aca="false">ER_Proy!C10</f>
        <v>1020</v>
      </c>
      <c r="D8" s="6" t="s">
        <v>168</v>
      </c>
    </row>
    <row r="9" customFormat="false" ht="15" hidden="false" customHeight="false" outlineLevel="0" collapsed="false">
      <c r="A9" s="20" t="s">
        <v>169</v>
      </c>
    </row>
    <row r="10" customFormat="false" ht="15" hidden="false" customHeight="false" outlineLevel="0" collapsed="false">
      <c r="A10" s="6" t="s">
        <v>170</v>
      </c>
      <c r="B10" s="19" t="n">
        <f aca="false">-(Historicos!C20-Historicos!B20)</f>
        <v>-300</v>
      </c>
      <c r="C10" s="19" t="n">
        <f aca="false">-(Balance_Proy!C6-Balance_Proy!B6)</f>
        <v>-293.293150684931</v>
      </c>
      <c r="D10" s="6" t="s">
        <v>171</v>
      </c>
    </row>
    <row r="11" customFormat="false" ht="15" hidden="false" customHeight="false" outlineLevel="0" collapsed="false">
      <c r="A11" s="6" t="s">
        <v>172</v>
      </c>
      <c r="B11" s="19" t="n">
        <f aca="false">-(Historicos!C21-Historicos!B21)</f>
        <v>-200</v>
      </c>
      <c r="C11" s="19" t="n">
        <f aca="false">-(Balance_Proy!C7-Balance_Proy!B7)</f>
        <v>-183.371616438356</v>
      </c>
      <c r="D11" s="6" t="s">
        <v>171</v>
      </c>
    </row>
    <row r="12" customFormat="false" ht="15" hidden="false" customHeight="false" outlineLevel="0" collapsed="false">
      <c r="A12" s="6" t="s">
        <v>173</v>
      </c>
      <c r="B12" s="19" t="n">
        <f aca="false">-(Historicos!C22-Historicos!B22)</f>
        <v>-20</v>
      </c>
      <c r="C12" s="19" t="n">
        <f aca="false">-(Balance_Proy!C8-Balance_Proy!B8)</f>
        <v>-18.592</v>
      </c>
      <c r="D12" s="6" t="s">
        <v>171</v>
      </c>
    </row>
    <row r="13" customFormat="false" ht="15" hidden="false" customHeight="false" outlineLevel="0" collapsed="false">
      <c r="A13" s="6" t="s">
        <v>174</v>
      </c>
      <c r="B13" s="19" t="n">
        <f aca="false">Historicos!C26-Historicos!B26</f>
        <v>150</v>
      </c>
      <c r="C13" s="19" t="n">
        <f aca="false">Balance_Proy!C12-Balance_Proy!B12</f>
        <v>140.418279452055</v>
      </c>
      <c r="D13" s="6" t="s">
        <v>171</v>
      </c>
    </row>
    <row r="14" customFormat="false" ht="15" hidden="false" customHeight="false" outlineLevel="0" collapsed="false">
      <c r="A14" s="6" t="s">
        <v>175</v>
      </c>
      <c r="B14" s="19" t="n">
        <f aca="false">Historicos!C27-Historicos!B27</f>
        <v>30</v>
      </c>
      <c r="C14" s="19" t="n">
        <f aca="false">Balance_Proy!C13-Balance_Proy!B13</f>
        <v>30.9024</v>
      </c>
      <c r="D14" s="6" t="s">
        <v>171</v>
      </c>
    </row>
    <row r="15" customFormat="false" ht="15" hidden="false" customHeight="false" outlineLevel="0" collapsed="false">
      <c r="A15" s="6" t="s">
        <v>176</v>
      </c>
      <c r="B15" s="19" t="n">
        <f aca="false">Historicos!C28-Historicos!B28</f>
        <v>30</v>
      </c>
      <c r="C15" s="19" t="n">
        <f aca="false">Balance_Proy!C14-Balance_Proy!B14</f>
        <v>32.6948351999999</v>
      </c>
      <c r="D15" s="6" t="s">
        <v>171</v>
      </c>
    </row>
    <row r="16" customFormat="false" ht="15" hidden="false" customHeight="false" outlineLevel="0" collapsed="false">
      <c r="A16" s="17" t="s">
        <v>177</v>
      </c>
      <c r="B16" s="18" t="n">
        <f aca="false">B6+B8+SUM(B10:B15)</f>
        <v>2177</v>
      </c>
      <c r="C16" s="18" t="n">
        <f aca="false">C6+C8+SUM(C10:C15)</f>
        <v>2445.04162752877</v>
      </c>
      <c r="D16" s="24"/>
    </row>
    <row r="17" customFormat="false" ht="15" hidden="false" customHeight="false" outlineLevel="0" collapsed="false">
      <c r="A17" s="15" t="s">
        <v>178</v>
      </c>
      <c r="B17" s="16"/>
      <c r="C17" s="16"/>
      <c r="D17" s="16"/>
    </row>
    <row r="18" customFormat="false" ht="15" hidden="false" customHeight="false" outlineLevel="0" collapsed="false">
      <c r="A18" s="6" t="s">
        <v>179</v>
      </c>
      <c r="B18" s="19" t="n">
        <f aca="false">-((Historicos!C24-Historicos!B24)+Historicos!C11)</f>
        <v>-550</v>
      </c>
      <c r="C18" s="21" t="n">
        <f aca="false">-Supuestos!$B$10</f>
        <v>-1200</v>
      </c>
      <c r="D18" s="6" t="s">
        <v>180</v>
      </c>
    </row>
    <row r="19" customFormat="false" ht="15" hidden="false" customHeight="false" outlineLevel="0" collapsed="false">
      <c r="A19" s="17" t="s">
        <v>181</v>
      </c>
      <c r="B19" s="18" t="n">
        <f aca="false">B18</f>
        <v>-550</v>
      </c>
      <c r="C19" s="18" t="n">
        <f aca="false">C18</f>
        <v>-1200</v>
      </c>
      <c r="D19" s="24"/>
    </row>
    <row r="20" customFormat="false" ht="15" hidden="false" customHeight="false" outlineLevel="0" collapsed="false">
      <c r="A20" s="15" t="s">
        <v>182</v>
      </c>
      <c r="B20" s="16"/>
      <c r="C20" s="16"/>
      <c r="D20" s="16"/>
    </row>
    <row r="21" customFormat="false" ht="15" hidden="false" customHeight="false" outlineLevel="0" collapsed="false">
      <c r="A21" s="6" t="s">
        <v>183</v>
      </c>
      <c r="B21" s="13" t="n">
        <v>0</v>
      </c>
      <c r="C21" s="21" t="n">
        <f aca="false">Supuestos!$B$19</f>
        <v>600</v>
      </c>
      <c r="D21" s="6" t="s">
        <v>184</v>
      </c>
    </row>
    <row r="22" customFormat="false" ht="15" hidden="false" customHeight="false" outlineLevel="0" collapsed="false">
      <c r="A22" s="6" t="s">
        <v>185</v>
      </c>
      <c r="B22" s="19" t="n">
        <f aca="false">(Historicos!C29+Historicos!C31)-(Historicos!B29+Historicos!B31)-B21</f>
        <v>-1000</v>
      </c>
      <c r="C22" s="21" t="n">
        <f aca="false">-Supuestos!$B$20</f>
        <v>-1000</v>
      </c>
      <c r="D22" s="6" t="s">
        <v>186</v>
      </c>
    </row>
    <row r="23" customFormat="false" ht="15" hidden="false" customHeight="false" outlineLevel="0" collapsed="false">
      <c r="A23" s="6" t="s">
        <v>187</v>
      </c>
      <c r="B23" s="19" t="n">
        <f aca="false">-(Historicos!B37+Historicos!C16-Historicos!C37)</f>
        <v>-700</v>
      </c>
      <c r="C23" s="19" t="n">
        <f aca="false">-Historicos!C16*Supuestos!$B$23</f>
        <v>-768.5</v>
      </c>
      <c r="D23" s="6" t="s">
        <v>188</v>
      </c>
    </row>
    <row r="24" customFormat="false" ht="15" hidden="false" customHeight="false" outlineLevel="0" collapsed="false">
      <c r="A24" s="17" t="s">
        <v>189</v>
      </c>
      <c r="B24" s="18" t="n">
        <f aca="false">SUM(B21:B23)</f>
        <v>-1700</v>
      </c>
      <c r="C24" s="18" t="n">
        <f aca="false">SUM(C21:C23)</f>
        <v>-1168.5</v>
      </c>
      <c r="D24" s="24"/>
    </row>
    <row r="25" customFormat="false" ht="15" hidden="false" customHeight="false" outlineLevel="0" collapsed="false">
      <c r="A25" s="17" t="s">
        <v>190</v>
      </c>
      <c r="B25" s="18" t="n">
        <f aca="false">B16+B19+B24</f>
        <v>-73</v>
      </c>
      <c r="C25" s="18" t="n">
        <f aca="false">C16+C19+C24</f>
        <v>76.5416275287666</v>
      </c>
      <c r="D25" s="24"/>
    </row>
    <row r="26" customFormat="false" ht="15" hidden="false" customHeight="false" outlineLevel="0" collapsed="false">
      <c r="A26" s="6" t="s">
        <v>191</v>
      </c>
      <c r="B26" s="21" t="n">
        <f aca="false">Historicos!B19</f>
        <v>1523</v>
      </c>
      <c r="C26" s="21" t="n">
        <f aca="false">Historicos!C19</f>
        <v>1450</v>
      </c>
    </row>
    <row r="27" customFormat="false" ht="15" hidden="false" customHeight="false" outlineLevel="0" collapsed="false">
      <c r="A27" s="17" t="s">
        <v>192</v>
      </c>
      <c r="B27" s="18" t="n">
        <f aca="false">B25+B26</f>
        <v>1450</v>
      </c>
      <c r="C27" s="18" t="n">
        <f aca="false">C25+C26</f>
        <v>1526.54162752877</v>
      </c>
      <c r="D27" s="17" t="s">
        <v>193</v>
      </c>
    </row>
    <row r="28" customFormat="false" ht="15" hidden="false" customHeight="false" outlineLevel="0" collapsed="false">
      <c r="A28" s="6" t="s">
        <v>194</v>
      </c>
      <c r="B28" s="21" t="n">
        <f aca="false">Historicos!C19</f>
        <v>1450</v>
      </c>
      <c r="C28" s="21" t="n">
        <f aca="false">Balance_Proy!C5</f>
        <v>1526.54162752877</v>
      </c>
    </row>
    <row r="29" customFormat="false" ht="15" hidden="false" customHeight="false" outlineLevel="0" collapsed="false">
      <c r="A29" s="20" t="s">
        <v>195</v>
      </c>
      <c r="B29" s="19" t="n">
        <f aca="false">B27-B28</f>
        <v>0</v>
      </c>
      <c r="C29" s="19" t="n">
        <f aca="false">C27-C28</f>
        <v>0</v>
      </c>
    </row>
    <row r="30" customFormat="false" ht="15" hidden="false" customHeight="false" outlineLevel="0" collapsed="false">
      <c r="A30" s="15" t="s">
        <v>196</v>
      </c>
      <c r="B30" s="16"/>
      <c r="C30" s="16"/>
      <c r="D30" s="16"/>
    </row>
    <row r="31" customFormat="false" ht="15" hidden="false" customHeight="false" outlineLevel="0" collapsed="false">
      <c r="A31" s="6" t="s">
        <v>197</v>
      </c>
      <c r="B31" s="21" t="n">
        <f aca="false">Historicos!C13</f>
        <v>410</v>
      </c>
      <c r="C31" s="21" t="n">
        <f aca="false">ER_Proy!C12</f>
        <v>424</v>
      </c>
      <c r="D31" s="6" t="s">
        <v>198</v>
      </c>
    </row>
    <row r="32" customFormat="false" ht="15" hidden="false" customHeight="false" outlineLevel="0" collapsed="false">
      <c r="A32" s="6" t="s">
        <v>199</v>
      </c>
      <c r="B32" s="19" t="n">
        <f aca="false">Historicos!C15-(Historicos!C28-Historicos!B28)</f>
        <v>798</v>
      </c>
      <c r="C32" s="19" t="n">
        <f aca="false">ER_Proy!C14-(Balance_Proy!C14-Balance_Proy!B14)</f>
        <v>891.4574848</v>
      </c>
      <c r="D32" s="6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0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" t="s">
        <v>201</v>
      </c>
    </row>
    <row r="2" customFormat="false" ht="15" hidden="false" customHeight="false" outlineLevel="0" collapsed="false">
      <c r="A2" s="2" t="s">
        <v>202</v>
      </c>
    </row>
    <row r="4" customFormat="false" ht="15" hidden="false" customHeight="false" outlineLevel="0" collapsed="false">
      <c r="A4" s="9" t="s">
        <v>114</v>
      </c>
      <c r="B4" s="10" t="s">
        <v>154</v>
      </c>
      <c r="C4" s="10" t="s">
        <v>162</v>
      </c>
    </row>
    <row r="5" customFormat="false" ht="15" hidden="false" customHeight="false" outlineLevel="0" collapsed="false">
      <c r="A5" s="15" t="s">
        <v>163</v>
      </c>
      <c r="B5" s="16"/>
      <c r="C5" s="16"/>
    </row>
    <row r="6" customFormat="false" ht="15" hidden="false" customHeight="false" outlineLevel="0" collapsed="false">
      <c r="A6" s="6" t="s">
        <v>203</v>
      </c>
      <c r="B6" s="19" t="n">
        <f aca="false">ER_Proy!C5-(Balance_Proy!C6-Balance_Proy!B6)</f>
        <v>21565.9068493151</v>
      </c>
      <c r="C6" s="6" t="s">
        <v>204</v>
      </c>
    </row>
    <row r="7" customFormat="false" ht="15" hidden="false" customHeight="false" outlineLevel="0" collapsed="false">
      <c r="A7" s="6" t="s">
        <v>205</v>
      </c>
      <c r="B7" s="19" t="n">
        <f aca="false">-(ER_Proy!C6+(Balance_Proy!C7-Balance_Proy!B7)-(Balance_Proy!C12-Balance_Proy!B12))</f>
        <v>-14142.1373369863</v>
      </c>
      <c r="C7" s="6" t="s">
        <v>206</v>
      </c>
    </row>
    <row r="8" customFormat="false" ht="15" hidden="false" customHeight="false" outlineLevel="0" collapsed="false">
      <c r="A8" s="6" t="s">
        <v>207</v>
      </c>
      <c r="B8" s="19" t="n">
        <f aca="false">-(ER_Proy!C8+ER_Proy!C9+(Balance_Proy!C8-Balance_Proy!B8)-(Balance_Proy!C13-Balance_Proy!B13))</f>
        <v>-3663.2704</v>
      </c>
      <c r="C8" s="6" t="s">
        <v>208</v>
      </c>
    </row>
    <row r="9" customFormat="false" ht="15" hidden="false" customHeight="false" outlineLevel="0" collapsed="false">
      <c r="A9" s="6" t="s">
        <v>209</v>
      </c>
      <c r="B9" s="21" t="n">
        <f aca="false">-ER_Proy!C12</f>
        <v>-424</v>
      </c>
      <c r="C9" s="6" t="s">
        <v>198</v>
      </c>
    </row>
    <row r="10" customFormat="false" ht="15" hidden="false" customHeight="false" outlineLevel="0" collapsed="false">
      <c r="A10" s="6" t="s">
        <v>210</v>
      </c>
      <c r="B10" s="19" t="n">
        <f aca="false">-(ER_Proy!C14-(Balance_Proy!C14-Balance_Proy!B14))</f>
        <v>-891.4574848</v>
      </c>
      <c r="C10" s="6" t="s">
        <v>200</v>
      </c>
    </row>
    <row r="11" customFormat="false" ht="15" hidden="false" customHeight="false" outlineLevel="0" collapsed="false">
      <c r="A11" s="17" t="s">
        <v>177</v>
      </c>
      <c r="B11" s="18" t="n">
        <f aca="false">SUM(B6:B10)</f>
        <v>2445.04162752877</v>
      </c>
      <c r="C11" s="24"/>
    </row>
    <row r="12" customFormat="false" ht="15" hidden="false" customHeight="false" outlineLevel="0" collapsed="false">
      <c r="A12" s="15" t="s">
        <v>178</v>
      </c>
      <c r="B12" s="16"/>
      <c r="C12" s="16"/>
    </row>
    <row r="13" customFormat="false" ht="15" hidden="false" customHeight="false" outlineLevel="0" collapsed="false">
      <c r="A13" s="6" t="s">
        <v>179</v>
      </c>
      <c r="B13" s="21" t="n">
        <f aca="false">Flujo_Indirecto!C18</f>
        <v>-1200</v>
      </c>
      <c r="C13" s="6" t="s">
        <v>180</v>
      </c>
    </row>
    <row r="14" customFormat="false" ht="15" hidden="false" customHeight="false" outlineLevel="0" collapsed="false">
      <c r="A14" s="17" t="s">
        <v>181</v>
      </c>
      <c r="B14" s="18" t="n">
        <f aca="false">B13</f>
        <v>-1200</v>
      </c>
      <c r="C14" s="24"/>
    </row>
    <row r="15" customFormat="false" ht="15" hidden="false" customHeight="false" outlineLevel="0" collapsed="false">
      <c r="A15" s="15" t="s">
        <v>182</v>
      </c>
      <c r="B15" s="16"/>
      <c r="C15" s="16"/>
    </row>
    <row r="16" customFormat="false" ht="15" hidden="false" customHeight="false" outlineLevel="0" collapsed="false">
      <c r="A16" s="6" t="s">
        <v>183</v>
      </c>
      <c r="B16" s="21" t="n">
        <f aca="false">Flujo_Indirecto!C21</f>
        <v>600</v>
      </c>
      <c r="C16" s="6" t="s">
        <v>184</v>
      </c>
    </row>
    <row r="17" customFormat="false" ht="15" hidden="false" customHeight="false" outlineLevel="0" collapsed="false">
      <c r="A17" s="6" t="s">
        <v>211</v>
      </c>
      <c r="B17" s="21" t="n">
        <f aca="false">Flujo_Indirecto!C22</f>
        <v>-1000</v>
      </c>
      <c r="C17" s="6" t="s">
        <v>186</v>
      </c>
    </row>
    <row r="18" customFormat="false" ht="15" hidden="false" customHeight="false" outlineLevel="0" collapsed="false">
      <c r="A18" s="6" t="s">
        <v>187</v>
      </c>
      <c r="B18" s="21" t="n">
        <f aca="false">Flujo_Indirecto!C23</f>
        <v>-768.5</v>
      </c>
      <c r="C18" s="6" t="s">
        <v>188</v>
      </c>
    </row>
    <row r="19" customFormat="false" ht="15" hidden="false" customHeight="false" outlineLevel="0" collapsed="false">
      <c r="A19" s="17" t="s">
        <v>189</v>
      </c>
      <c r="B19" s="18" t="n">
        <f aca="false">SUM(B16:B18)</f>
        <v>-1168.5</v>
      </c>
      <c r="C19" s="24"/>
    </row>
    <row r="20" customFormat="false" ht="15" hidden="false" customHeight="false" outlineLevel="0" collapsed="false">
      <c r="A20" s="17" t="s">
        <v>190</v>
      </c>
      <c r="B20" s="18" t="n">
        <f aca="false">B11+B14+B19</f>
        <v>76.5416275287671</v>
      </c>
      <c r="C20" s="24"/>
    </row>
    <row r="21" customFormat="false" ht="15" hidden="false" customHeight="false" outlineLevel="0" collapsed="false">
      <c r="A21" s="6" t="s">
        <v>191</v>
      </c>
      <c r="B21" s="21" t="n">
        <f aca="false">Historicos!C19</f>
        <v>1450</v>
      </c>
    </row>
    <row r="22" customFormat="false" ht="15" hidden="false" customHeight="false" outlineLevel="0" collapsed="false">
      <c r="A22" s="17" t="s">
        <v>192</v>
      </c>
      <c r="B22" s="18" t="n">
        <f aca="false">B20+B21</f>
        <v>1526.54162752877</v>
      </c>
      <c r="C22" s="24"/>
    </row>
    <row r="23" customFormat="false" ht="15" hidden="false" customHeight="false" outlineLevel="0" collapsed="false">
      <c r="A23" s="20" t="s">
        <v>212</v>
      </c>
      <c r="B23" s="19" t="n">
        <f aca="false">B11-Flujo_Indirecto!C16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213</v>
      </c>
    </row>
    <row r="4" customFormat="false" ht="15" hidden="false" customHeight="false" outlineLevel="0" collapsed="false">
      <c r="A4" s="9" t="s">
        <v>214</v>
      </c>
      <c r="B4" s="10" t="s">
        <v>115</v>
      </c>
      <c r="C4" s="10" t="s">
        <v>116</v>
      </c>
      <c r="D4" s="10" t="s">
        <v>215</v>
      </c>
      <c r="E4" s="10" t="s">
        <v>216</v>
      </c>
    </row>
    <row r="5" customFormat="false" ht="15" hidden="false" customHeight="false" outlineLevel="0" collapsed="false">
      <c r="A5" s="6" t="s">
        <v>217</v>
      </c>
      <c r="B5" s="25" t="n">
        <f aca="false">Historicos!B23/Historicos!B30</f>
        <v>2.08873626373626</v>
      </c>
      <c r="C5" s="25" t="n">
        <f aca="false">Historicos!C23/Historicos!C30</f>
        <v>2.09090909090909</v>
      </c>
      <c r="D5" s="25" t="n">
        <f aca="false">Balance_Proy!C9/Balance_Proy!C16</f>
        <v>2.12673048820141</v>
      </c>
      <c r="E5" s="4" t="s">
        <v>218</v>
      </c>
    </row>
    <row r="6" customFormat="false" ht="15" hidden="false" customHeight="false" outlineLevel="0" collapsed="false">
      <c r="A6" s="6" t="s">
        <v>219</v>
      </c>
      <c r="B6" s="25" t="n">
        <f aca="false">(Historicos!B23-Historicos!B21)/Historicos!B30</f>
        <v>1.29203296703297</v>
      </c>
      <c r="C6" s="25" t="n">
        <f aca="false">(Historicos!C23-Historicos!C21)/Historicos!C30</f>
        <v>1.28571428571429</v>
      </c>
      <c r="D6" s="25" t="n">
        <f aca="false">(Balance_Proy!C9-Balance_Proy!C7)/Balance_Proy!C16</f>
        <v>1.3168244568674</v>
      </c>
      <c r="E6" s="4" t="s">
        <v>220</v>
      </c>
    </row>
    <row r="7" customFormat="false" ht="15" hidden="false" customHeight="false" outlineLevel="0" collapsed="false">
      <c r="A7" s="6" t="s">
        <v>221</v>
      </c>
      <c r="B7" s="25" t="n">
        <f aca="false">Historicos!B19/Historicos!B30</f>
        <v>0.418406593406593</v>
      </c>
      <c r="C7" s="25" t="n">
        <f aca="false">Historicos!C19/Historicos!C30</f>
        <v>0.376623376623377</v>
      </c>
      <c r="D7" s="25" t="n">
        <f aca="false">Balance_Proy!C5/Balance_Proy!C16</f>
        <v>0.376550514424902</v>
      </c>
      <c r="E7" s="4" t="s">
        <v>222</v>
      </c>
    </row>
    <row r="8" customFormat="false" ht="15" hidden="false" customHeight="false" outlineLevel="0" collapsed="false">
      <c r="A8" s="6" t="s">
        <v>223</v>
      </c>
      <c r="B8" s="19" t="n">
        <f aca="false">Historicos!B23-Historicos!B30</f>
        <v>3963</v>
      </c>
      <c r="C8" s="19" t="n">
        <f aca="false">Historicos!C23-Historicos!C30</f>
        <v>4200</v>
      </c>
      <c r="D8" s="19" t="n">
        <f aca="false">Balance_Proy!C9-Balance_Proy!C16</f>
        <v>4567.78288</v>
      </c>
      <c r="E8" s="4" t="s">
        <v>224</v>
      </c>
    </row>
    <row r="9" customFormat="false" ht="15" hidden="false" customHeight="false" outlineLevel="0" collapsed="false">
      <c r="A9" s="6" t="s">
        <v>225</v>
      </c>
      <c r="B9" s="26" t="n">
        <f aca="false">Historicos!B20/Historicos!B6*365</f>
        <v>59.5108695652174</v>
      </c>
      <c r="C9" s="26" t="n">
        <f aca="false">Historicos!C20/Historicos!C6*365</f>
        <v>59.5108695652174</v>
      </c>
      <c r="D9" s="26" t="n">
        <f aca="false">Balance_Proy!C6/ER_Proy!C5*365</f>
        <v>60</v>
      </c>
      <c r="E9" s="4" t="s">
        <v>226</v>
      </c>
    </row>
    <row r="10" customFormat="false" ht="15" hidden="false" customHeight="false" outlineLevel="0" collapsed="false">
      <c r="A10" s="6" t="s">
        <v>227</v>
      </c>
      <c r="B10" s="26" t="n">
        <f aca="false">Historicos!B21/Historicos!B7*365</f>
        <v>88.5033444816054</v>
      </c>
      <c r="C10" s="26" t="n">
        <f aca="false">Historicos!C21/Historicos!C7*365</f>
        <v>86.6717732669475</v>
      </c>
      <c r="D10" s="26" t="n">
        <f aca="false">Balance_Proy!C7/ER_Proy!C6*365</f>
        <v>85</v>
      </c>
      <c r="E10" s="4" t="s">
        <v>228</v>
      </c>
    </row>
    <row r="11" customFormat="false" ht="15" hidden="false" customHeight="false" outlineLevel="0" collapsed="false">
      <c r="A11" s="6" t="s">
        <v>229</v>
      </c>
      <c r="B11" s="26" t="n">
        <f aca="false">Historicos!B26/Historicos!B7*365</f>
        <v>59.5108695652174</v>
      </c>
      <c r="C11" s="26" t="n">
        <f aca="false">Historicos!C26/Historicos!C7*365</f>
        <v>58.7131367292225</v>
      </c>
      <c r="D11" s="26" t="n">
        <f aca="false">Balance_Proy!C12/ER_Proy!C6*365</f>
        <v>58</v>
      </c>
      <c r="E11" s="4" t="s">
        <v>230</v>
      </c>
    </row>
    <row r="12" customFormat="false" ht="15" hidden="false" customHeight="false" outlineLevel="0" collapsed="false">
      <c r="A12" s="6" t="s">
        <v>231</v>
      </c>
      <c r="B12" s="26" t="n">
        <f aca="false">B9+B10-B11</f>
        <v>88.5033444816054</v>
      </c>
      <c r="C12" s="26" t="n">
        <f aca="false">C9+C10-C11</f>
        <v>87.4695061029424</v>
      </c>
      <c r="D12" s="26" t="n">
        <f aca="false">D9+D10-D11</f>
        <v>87</v>
      </c>
      <c r="E12" s="4" t="s">
        <v>232</v>
      </c>
    </row>
    <row r="13" customFormat="false" ht="15" hidden="false" customHeight="false" outlineLevel="0" collapsed="false">
      <c r="A13" s="6" t="s">
        <v>233</v>
      </c>
      <c r="B13" s="22" t="n">
        <f aca="false">Historicos!B32/Historicos!B25</f>
        <v>0.490825427483952</v>
      </c>
      <c r="C13" s="22" t="n">
        <f aca="false">Historicos!C32/Historicos!C25</f>
        <v>0.444759206798867</v>
      </c>
      <c r="D13" s="22" t="n">
        <f aca="false">Balance_Proy!C18/Balance_Proy!C11</f>
        <v>0.415938450715582</v>
      </c>
      <c r="E13" s="4" t="s">
        <v>234</v>
      </c>
    </row>
    <row r="14" customFormat="false" ht="15" hidden="false" customHeight="false" outlineLevel="0" collapsed="false">
      <c r="A14" s="6" t="s">
        <v>235</v>
      </c>
      <c r="B14" s="25" t="n">
        <f aca="false">Historicos!B12/Historicos!B13</f>
        <v>6.10526315789474</v>
      </c>
      <c r="C14" s="25" t="n">
        <f aca="false">Historicos!C12/Historicos!C13</f>
        <v>6.76829268292683</v>
      </c>
      <c r="D14" s="25" t="n">
        <f aca="false">ER_Proy!C11/ER_Proy!C12</f>
        <v>7.22744150943396</v>
      </c>
      <c r="E14" s="4" t="s">
        <v>236</v>
      </c>
    </row>
    <row r="15" customFormat="false" ht="15" hidden="false" customHeight="false" outlineLevel="0" collapsed="false">
      <c r="A15" s="6" t="s">
        <v>237</v>
      </c>
      <c r="B15" s="22" t="n">
        <f aca="false">Historicos!B16/Historicos!B6</f>
        <v>0.0685326086956522</v>
      </c>
      <c r="C15" s="22" t="n">
        <f aca="false">Historicos!C16/Historicos!C6</f>
        <v>0.0759387351778656</v>
      </c>
      <c r="D15" s="22" t="n">
        <f aca="false">ER_Proy!C15/ER_Proy!C5</f>
        <v>0.0785153564631825</v>
      </c>
      <c r="E15" s="4" t="s">
        <v>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28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239</v>
      </c>
    </row>
    <row r="2" customFormat="false" ht="15" hidden="false" customHeight="false" outlineLevel="0" collapsed="false">
      <c r="A2" s="2" t="s">
        <v>240</v>
      </c>
    </row>
    <row r="4" customFormat="false" ht="15" hidden="false" customHeight="false" outlineLevel="0" collapsed="false">
      <c r="A4" s="9" t="s">
        <v>241</v>
      </c>
      <c r="B4" s="10" t="s">
        <v>242</v>
      </c>
      <c r="C4" s="10" t="s">
        <v>243</v>
      </c>
    </row>
    <row r="5" customFormat="false" ht="15" hidden="false" customHeight="false" outlineLevel="0" collapsed="false">
      <c r="A5" s="6" t="s">
        <v>244</v>
      </c>
      <c r="B5" s="27" t="n">
        <f aca="false">Historicos!B39</f>
        <v>0</v>
      </c>
      <c r="C5" s="12" t="str">
        <f aca="false">IF(ABS(B5)&lt;0.5,"OK","REVISAR")</f>
        <v>OK</v>
      </c>
    </row>
    <row r="6" customFormat="false" ht="15" hidden="false" customHeight="false" outlineLevel="0" collapsed="false">
      <c r="A6" s="6" t="s">
        <v>245</v>
      </c>
      <c r="B6" s="27" t="n">
        <f aca="false">Historicos!C39</f>
        <v>0</v>
      </c>
      <c r="C6" s="12" t="str">
        <f aca="false">IF(ABS(B6)&lt;0.5,"OK","REVISAR")</f>
        <v>OK</v>
      </c>
    </row>
    <row r="7" customFormat="false" ht="15" hidden="false" customHeight="false" outlineLevel="0" collapsed="false">
      <c r="A7" s="6" t="s">
        <v>246</v>
      </c>
      <c r="B7" s="27" t="n">
        <f aca="false">Balance_Proy!C25</f>
        <v>0</v>
      </c>
      <c r="C7" s="12" t="str">
        <f aca="false">IF(ABS(B7)&lt;0.5,"OK","REVISAR")</f>
        <v>OK</v>
      </c>
    </row>
    <row r="8" customFormat="false" ht="15" hidden="false" customHeight="false" outlineLevel="0" collapsed="false">
      <c r="A8" s="6" t="s">
        <v>247</v>
      </c>
      <c r="B8" s="27" t="n">
        <f aca="false">Flujo_Indirecto!B29</f>
        <v>0</v>
      </c>
      <c r="C8" s="12" t="str">
        <f aca="false">IF(ABS(B8)&lt;0.5,"OK","REVISAR")</f>
        <v>OK</v>
      </c>
    </row>
    <row r="9" customFormat="false" ht="15" hidden="false" customHeight="false" outlineLevel="0" collapsed="false">
      <c r="A9" s="6" t="s">
        <v>248</v>
      </c>
      <c r="B9" s="27" t="n">
        <f aca="false">Flujo_Indirecto!C29</f>
        <v>0</v>
      </c>
      <c r="C9" s="12" t="str">
        <f aca="false">IF(ABS(B9)&lt;0.5,"OK","REVISAR")</f>
        <v>OK</v>
      </c>
    </row>
    <row r="10" customFormat="false" ht="15" hidden="false" customHeight="false" outlineLevel="0" collapsed="false">
      <c r="A10" s="6" t="s">
        <v>249</v>
      </c>
      <c r="B10" s="27" t="n">
        <f aca="false">Flujo_Directo!B23</f>
        <v>0</v>
      </c>
      <c r="C10" s="12" t="str">
        <f aca="false">IF(ABS(B10)&lt;0.5,"OK","REVISAR")</f>
        <v>OK</v>
      </c>
    </row>
    <row r="11" customFormat="false" ht="15" hidden="false" customHeight="false" outlineLevel="0" collapsed="false">
      <c r="A11" s="6" t="s">
        <v>250</v>
      </c>
      <c r="B11" s="21" t="n">
        <f aca="false">Balance_Proy!C5</f>
        <v>1526.54162752877</v>
      </c>
      <c r="C11" s="12" t="str">
        <f aca="false">IF(B11&gt;=0,"OK","REVISAR")</f>
        <v>OK</v>
      </c>
    </row>
    <row r="13" customFormat="false" ht="15" hidden="false" customHeight="false" outlineLevel="0" collapsed="false">
      <c r="A13" s="9" t="s">
        <v>251</v>
      </c>
      <c r="B13" s="10" t="s">
        <v>252</v>
      </c>
      <c r="C13" s="10" t="s">
        <v>253</v>
      </c>
    </row>
    <row r="14" customFormat="false" ht="15" hidden="false" customHeight="false" outlineLevel="0" collapsed="false">
      <c r="A14" s="4" t="s">
        <v>254</v>
      </c>
      <c r="B14" s="12" t="s">
        <v>255</v>
      </c>
      <c r="C14" s="4" t="s">
        <v>256</v>
      </c>
    </row>
    <row r="15" customFormat="false" ht="15" hidden="false" customHeight="false" outlineLevel="0" collapsed="false">
      <c r="A15" s="4" t="s">
        <v>257</v>
      </c>
      <c r="B15" s="12" t="s">
        <v>255</v>
      </c>
      <c r="C15" s="4" t="s">
        <v>258</v>
      </c>
    </row>
    <row r="16" customFormat="false" ht="15" hidden="false" customHeight="false" outlineLevel="0" collapsed="false">
      <c r="A16" s="4" t="s">
        <v>259</v>
      </c>
      <c r="B16" s="12" t="s">
        <v>255</v>
      </c>
      <c r="C16" s="4" t="s">
        <v>260</v>
      </c>
    </row>
    <row r="17" customFormat="false" ht="15" hidden="false" customHeight="false" outlineLevel="0" collapsed="false">
      <c r="A17" s="4" t="s">
        <v>261</v>
      </c>
      <c r="B17" s="12" t="s">
        <v>255</v>
      </c>
      <c r="C17" s="4" t="s">
        <v>262</v>
      </c>
    </row>
    <row r="18" customFormat="false" ht="15" hidden="false" customHeight="false" outlineLevel="0" collapsed="false">
      <c r="A18" s="4" t="s">
        <v>263</v>
      </c>
      <c r="B18" s="12" t="s">
        <v>255</v>
      </c>
      <c r="C18" s="4" t="s">
        <v>264</v>
      </c>
    </row>
    <row r="19" customFormat="false" ht="15" hidden="false" customHeight="false" outlineLevel="0" collapsed="false">
      <c r="A19" s="4" t="s">
        <v>265</v>
      </c>
      <c r="B19" s="12" t="s">
        <v>255</v>
      </c>
      <c r="C19" s="4" t="s">
        <v>266</v>
      </c>
    </row>
    <row r="20" customFormat="false" ht="15" hidden="false" customHeight="false" outlineLevel="0" collapsed="false">
      <c r="A20" s="4" t="s">
        <v>267</v>
      </c>
      <c r="B20" s="12" t="s">
        <v>255</v>
      </c>
      <c r="C20" s="4" t="s">
        <v>268</v>
      </c>
    </row>
    <row r="21" customFormat="false" ht="15" hidden="false" customHeight="false" outlineLevel="0" collapsed="false">
      <c r="A21" s="4" t="s">
        <v>269</v>
      </c>
      <c r="B21" s="12" t="s">
        <v>255</v>
      </c>
      <c r="C21" s="4" t="s">
        <v>270</v>
      </c>
    </row>
    <row r="23" customFormat="false" ht="15" hidden="false" customHeight="false" outlineLevel="0" collapsed="false">
      <c r="A23" s="9" t="s">
        <v>271</v>
      </c>
      <c r="B23" s="10" t="s">
        <v>272</v>
      </c>
      <c r="C23" s="10"/>
    </row>
    <row r="24" customFormat="false" ht="15" hidden="false" customHeight="false" outlineLevel="0" collapsed="false">
      <c r="A24" s="6" t="s">
        <v>273</v>
      </c>
      <c r="B24" s="8"/>
    </row>
    <row r="25" customFormat="false" ht="15" hidden="false" customHeight="false" outlineLevel="0" collapsed="false">
      <c r="A25" s="6" t="s">
        <v>274</v>
      </c>
      <c r="B25" s="8"/>
    </row>
    <row r="27" customFormat="false" ht="15" hidden="false" customHeight="false" outlineLevel="0" collapsed="false">
      <c r="A27" s="9" t="s">
        <v>275</v>
      </c>
      <c r="B27" s="10" t="s">
        <v>276</v>
      </c>
      <c r="C27" s="10" t="s">
        <v>277</v>
      </c>
    </row>
    <row r="28" customFormat="false" ht="23.85" hidden="false" customHeight="false" outlineLevel="0" collapsed="false">
      <c r="A28" s="28" t="s">
        <v>278</v>
      </c>
      <c r="B28" s="20" t="s">
        <v>279</v>
      </c>
      <c r="C28" s="28" t="s">
        <v>280</v>
      </c>
    </row>
    <row r="29" customFormat="false" ht="15" hidden="false" customHeight="false" outlineLevel="0" collapsed="false">
      <c r="A29" s="29"/>
      <c r="B29" s="29"/>
      <c r="C29" s="29"/>
    </row>
    <row r="30" customFormat="false" ht="15" hidden="false" customHeight="false" outlineLevel="0" collapsed="false">
      <c r="A30" s="29"/>
      <c r="B30" s="29"/>
      <c r="C30" s="29"/>
    </row>
    <row r="31" customFormat="false" ht="15" hidden="false" customHeight="false" outlineLevel="0" collapsed="false">
      <c r="A31" s="29"/>
      <c r="B31" s="29"/>
      <c r="C31" s="29"/>
    </row>
    <row r="32" customFormat="false" ht="15" hidden="false" customHeight="false" outlineLevel="0" collapsed="false">
      <c r="A32" s="29"/>
      <c r="B32" s="29"/>
      <c r="C32" s="29"/>
    </row>
    <row r="33" customFormat="false" ht="15" hidden="false" customHeight="false" outlineLevel="0" collapsed="false">
      <c r="A33" s="29"/>
      <c r="B33" s="29"/>
      <c r="C33" s="29"/>
    </row>
    <row r="35" customFormat="false" ht="15" hidden="false" customHeight="false" outlineLevel="0" collapsed="false">
      <c r="A35" s="20" t="s">
        <v>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0"/>
    <col collapsed="false" customWidth="true" hidden="false" outlineLevel="0" max="3" min="3" style="0" width="26"/>
  </cols>
  <sheetData>
    <row r="1" customFormat="false" ht="17.35" hidden="false" customHeight="false" outlineLevel="0" collapsed="false">
      <c r="A1" s="1" t="s">
        <v>282</v>
      </c>
    </row>
    <row r="2" customFormat="false" ht="15" hidden="false" customHeight="false" outlineLevel="0" collapsed="false">
      <c r="A2" s="2" t="s">
        <v>283</v>
      </c>
    </row>
    <row r="4" customFormat="false" ht="15" hidden="false" customHeight="false" outlineLevel="0" collapsed="false">
      <c r="A4" s="9" t="s">
        <v>114</v>
      </c>
      <c r="B4" s="10" t="s">
        <v>284</v>
      </c>
      <c r="C4" s="10" t="s">
        <v>285</v>
      </c>
    </row>
    <row r="5" customFormat="false" ht="15" hidden="false" customHeight="false" outlineLevel="0" collapsed="false">
      <c r="A5" s="6" t="s">
        <v>286</v>
      </c>
      <c r="B5" s="4" t="s">
        <v>287</v>
      </c>
      <c r="C5" s="6" t="s">
        <v>288</v>
      </c>
    </row>
    <row r="6" customFormat="false" ht="15" hidden="false" customHeight="false" outlineLevel="0" collapsed="false">
      <c r="A6" s="6" t="s">
        <v>289</v>
      </c>
      <c r="B6" s="4" t="s">
        <v>290</v>
      </c>
      <c r="C6" s="6" t="s">
        <v>291</v>
      </c>
    </row>
    <row r="7" customFormat="false" ht="15" hidden="false" customHeight="false" outlineLevel="0" collapsed="false">
      <c r="A7" s="6" t="s">
        <v>292</v>
      </c>
      <c r="B7" s="4" t="s">
        <v>293</v>
      </c>
      <c r="C7" s="6" t="s">
        <v>294</v>
      </c>
    </row>
    <row r="8" customFormat="false" ht="15" hidden="false" customHeight="false" outlineLevel="0" collapsed="false">
      <c r="A8" s="6" t="s">
        <v>125</v>
      </c>
      <c r="B8" s="4" t="s">
        <v>295</v>
      </c>
      <c r="C8" s="6" t="s">
        <v>296</v>
      </c>
    </row>
    <row r="9" customFormat="false" ht="15" hidden="false" customHeight="false" outlineLevel="0" collapsed="false">
      <c r="A9" s="6" t="s">
        <v>127</v>
      </c>
      <c r="B9" s="4" t="s">
        <v>297</v>
      </c>
      <c r="C9" s="6" t="s">
        <v>298</v>
      </c>
    </row>
    <row r="10" customFormat="false" ht="15" hidden="false" customHeight="false" outlineLevel="0" collapsed="false">
      <c r="A10" s="6" t="s">
        <v>299</v>
      </c>
      <c r="B10" s="4" t="s">
        <v>300</v>
      </c>
      <c r="C10" s="6" t="s">
        <v>301</v>
      </c>
    </row>
    <row r="11" customFormat="false" ht="15" hidden="false" customHeight="false" outlineLevel="0" collapsed="false">
      <c r="A11" s="6" t="s">
        <v>132</v>
      </c>
      <c r="B11" s="4" t="s">
        <v>302</v>
      </c>
      <c r="C11" s="6" t="s">
        <v>303</v>
      </c>
    </row>
    <row r="12" customFormat="false" ht="15" hidden="false" customHeight="false" outlineLevel="0" collapsed="false">
      <c r="A12" s="6" t="s">
        <v>137</v>
      </c>
      <c r="B12" s="4" t="s">
        <v>304</v>
      </c>
      <c r="C12" s="6" t="s">
        <v>305</v>
      </c>
    </row>
    <row r="13" customFormat="false" ht="15" hidden="false" customHeight="false" outlineLevel="0" collapsed="false">
      <c r="A13" s="6" t="s">
        <v>306</v>
      </c>
      <c r="B13" s="4" t="s">
        <v>307</v>
      </c>
      <c r="C13" s="6" t="s">
        <v>308</v>
      </c>
    </row>
    <row r="14" customFormat="false" ht="15" hidden="false" customHeight="false" outlineLevel="0" collapsed="false">
      <c r="A14" s="6" t="s">
        <v>309</v>
      </c>
      <c r="B14" s="4" t="s">
        <v>310</v>
      </c>
      <c r="C14" s="6" t="s">
        <v>311</v>
      </c>
    </row>
    <row r="15" customFormat="false" ht="15" hidden="false" customHeight="false" outlineLevel="0" collapsed="false">
      <c r="A15" s="6" t="s">
        <v>312</v>
      </c>
      <c r="B15" s="4" t="s">
        <v>313</v>
      </c>
      <c r="C15" s="6" t="s">
        <v>314</v>
      </c>
    </row>
    <row r="16" customFormat="false" ht="15" hidden="false" customHeight="false" outlineLevel="0" collapsed="false">
      <c r="A16" s="6" t="s">
        <v>315</v>
      </c>
      <c r="B16" s="4" t="s">
        <v>316</v>
      </c>
      <c r="C16" s="6" t="s">
        <v>317</v>
      </c>
    </row>
    <row r="17" customFormat="false" ht="15" hidden="false" customHeight="false" outlineLevel="0" collapsed="false">
      <c r="A17" s="6" t="s">
        <v>318</v>
      </c>
      <c r="B17" s="4" t="s">
        <v>319</v>
      </c>
      <c r="C17" s="6" t="s">
        <v>320</v>
      </c>
    </row>
    <row r="18" customFormat="false" ht="15" hidden="false" customHeight="false" outlineLevel="0" collapsed="false">
      <c r="A18" s="6" t="s">
        <v>321</v>
      </c>
      <c r="B18" s="4" t="s">
        <v>322</v>
      </c>
      <c r="C18" s="6" t="s">
        <v>323</v>
      </c>
    </row>
    <row r="19" customFormat="false" ht="15" hidden="false" customHeight="false" outlineLevel="0" collapsed="false">
      <c r="A19" s="6" t="s">
        <v>187</v>
      </c>
      <c r="B19" s="4" t="s">
        <v>324</v>
      </c>
      <c r="C19" s="6" t="s">
        <v>325</v>
      </c>
    </row>
    <row r="20" customFormat="false" ht="15" hidden="false" customHeight="false" outlineLevel="0" collapsed="false">
      <c r="A20" s="6" t="s">
        <v>326</v>
      </c>
      <c r="B20" s="4" t="s">
        <v>327</v>
      </c>
      <c r="C20" s="6" t="s">
        <v>328</v>
      </c>
    </row>
    <row r="21" customFormat="false" ht="15" hidden="false" customHeight="false" outlineLevel="0" collapsed="false">
      <c r="A21" s="6" t="s">
        <v>329</v>
      </c>
      <c r="B21" s="4" t="s">
        <v>330</v>
      </c>
      <c r="C21" s="6" t="s">
        <v>331</v>
      </c>
    </row>
    <row r="22" customFormat="false" ht="15" hidden="false" customHeight="false" outlineLevel="0" collapsed="false">
      <c r="A22" s="6" t="s">
        <v>332</v>
      </c>
      <c r="B22" s="4" t="s">
        <v>333</v>
      </c>
      <c r="C22" s="6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2026-09-21T22:14:53Z</dcterms:created>
  <dc:creator>openpyxl</dc:creator>
  <dc:description/>
  <dc:language>en-US</dc:language>
  <cp:lastModifiedBy/>
  <dcterms:modified xsi:type="dcterms:W3CDTF">2026-09-21T22:14:53Z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